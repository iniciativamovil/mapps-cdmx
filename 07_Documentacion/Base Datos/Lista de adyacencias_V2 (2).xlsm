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trlProps/ctrlProp9.xml" ContentType="application/vnd.ms-excel.controlproperties+xml"/>
  <Override PartName="/xl/ctrlProps/ctrlProp15.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trlProps/ctrlProp7.xml" ContentType="application/vnd.ms-excel.controlproperties+xml"/>
  <Override PartName="/xl/ctrlProps/ctrlProp8.xml" ContentType="application/vnd.ms-excel.controlproperties+xml"/>
  <Override PartName="/xl/ctrlProps/ctrlProp13.xml" ContentType="application/vnd.ms-excel.controlproperties+xml"/>
  <Override PartName="/xl/ctrlProps/ctrlProp14.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12.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525" yWindow="210" windowWidth="18495" windowHeight="11700" firstSheet="6" activeTab="8"/>
  </bookViews>
  <sheets>
    <sheet name="Hoja1" sheetId="1" r:id="rId1"/>
    <sheet name="Estaciones-ID" sheetId="2" r:id="rId2"/>
    <sheet name="Sistemas" sheetId="10" r:id="rId3"/>
    <sheet name="Grupos" sheetId="4" r:id="rId4"/>
    <sheet name="Nodos" sheetId="3" r:id="rId5"/>
    <sheet name="Adyacencias_Enlaces" sheetId="5" r:id="rId6"/>
    <sheet name="Clases" sheetId="6" r:id="rId7"/>
    <sheet name="Propiedades" sheetId="7" r:id="rId8"/>
    <sheet name="Asignaciones" sheetId="8" r:id="rId9"/>
    <sheet name="Referencias" sheetId="9" r:id="rId10"/>
    <sheet name="Linea1" sheetId="16" r:id="rId11"/>
    <sheet name="Linea2" sheetId="17" r:id="rId12"/>
    <sheet name="Linea3" sheetId="18" r:id="rId13"/>
    <sheet name="Linea4" sheetId="19" r:id="rId14"/>
    <sheet name="Linea5" sheetId="20" r:id="rId15"/>
    <sheet name="Linea6" sheetId="21" r:id="rId16"/>
    <sheet name="Linea7" sheetId="22" r:id="rId17"/>
    <sheet name="Linea8" sheetId="23" r:id="rId18"/>
    <sheet name="Linea9" sheetId="24" r:id="rId19"/>
    <sheet name="LineaA" sheetId="25" r:id="rId20"/>
    <sheet name="LineaB" sheetId="15" r:id="rId21"/>
  </sheets>
  <definedNames>
    <definedName name="_xlnm._FilterDatabase" localSheetId="8" hidden="1">Asignaciones!$C$3:$I$106</definedName>
    <definedName name="_xlnm._FilterDatabase" localSheetId="1" hidden="1">'Estaciones-ID'!$F$1:$H$12</definedName>
    <definedName name="_xlnm._FilterDatabase" localSheetId="4" hidden="1">Nodos!$A$4:$P$152</definedName>
    <definedName name="Clase">Clases!$C$5:$C$1048576</definedName>
    <definedName name="Estaciones">'Estaciones-ID'!$D$2:$D$148</definedName>
    <definedName name="EstacionesNombre">'Estaciones-ID'!$C$2:$C$148</definedName>
    <definedName name="Grupo">'Estaciones-ID'!$I$15:$I$25</definedName>
    <definedName name="Grupos">'Estaciones-ID'!$F$15:$H$25</definedName>
    <definedName name="Nodo" localSheetId="4">Asignaciones!$D$5</definedName>
    <definedName name="Propiedades">Propiedades!$B$5:$B$93</definedName>
    <definedName name="Sistemas">Sistemas!$B$5:$B$1048576</definedName>
  </definedNames>
  <calcPr calcId="125725"/>
</workbook>
</file>

<file path=xl/calcChain.xml><?xml version="1.0" encoding="utf-8"?>
<calcChain xmlns="http://schemas.openxmlformats.org/spreadsheetml/2006/main">
  <c r="C127" i="9"/>
  <c r="C128" s="1"/>
  <c r="C129" s="1"/>
  <c r="C130" s="1"/>
  <c r="B240" i="15"/>
  <c r="B226" i="16"/>
  <c r="B17" i="25"/>
  <c r="B85" i="24"/>
  <c r="B84"/>
  <c r="B55" i="23"/>
  <c r="B79" i="22"/>
  <c r="B72" i="21"/>
  <c r="B73" s="1"/>
  <c r="B215" i="18"/>
  <c r="B6" i="24" l="1"/>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l="1"/>
  <c r="B74" s="1"/>
  <c r="B6" i="25"/>
  <c r="B7" s="1"/>
  <c r="B8" s="1"/>
  <c r="B9" s="1"/>
  <c r="B10" s="1"/>
  <c r="B11" s="1"/>
  <c r="B12" s="1"/>
  <c r="B13" s="1"/>
  <c r="B14" s="1"/>
  <c r="B15" s="1"/>
  <c r="B16" s="1"/>
  <c r="B6" i="23"/>
  <c r="B7" s="1"/>
  <c r="B8" s="1"/>
  <c r="B9" s="1"/>
  <c r="B10" s="1"/>
  <c r="B11" s="1"/>
  <c r="B12" s="1"/>
  <c r="B13" s="1"/>
  <c r="B14" s="1"/>
  <c r="B15" s="1"/>
  <c r="B16" s="1"/>
  <c r="B17" s="1"/>
  <c r="B18" s="1"/>
  <c r="B19" s="1"/>
  <c r="B20" s="1"/>
  <c r="B21" s="1"/>
  <c r="B22" s="1"/>
  <c r="B23" s="1"/>
  <c r="B24" s="1"/>
  <c r="B25" s="1"/>
  <c r="B26" s="1"/>
  <c r="B27" s="1"/>
  <c r="B28" s="1"/>
  <c r="B29" s="1"/>
  <c r="B30" s="1"/>
  <c r="B6" i="22"/>
  <c r="B7" s="1"/>
  <c r="B8" s="1"/>
  <c r="B9" s="1"/>
  <c r="B10" s="1"/>
  <c r="B11" s="1"/>
  <c r="B12" s="1"/>
  <c r="B13" s="1"/>
  <c r="B14" s="1"/>
  <c r="B15" s="1"/>
  <c r="B16" s="1"/>
  <c r="B17" s="1"/>
  <c r="B18" s="1"/>
  <c r="B19" s="1"/>
  <c r="B20" s="1"/>
  <c r="B21" s="1"/>
  <c r="B22" s="1"/>
  <c r="B23" s="1"/>
  <c r="B24" s="1"/>
  <c r="B6" i="21"/>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6" i="20"/>
  <c r="B7" s="1"/>
  <c r="B8" s="1"/>
  <c r="B9" s="1"/>
  <c r="B10" s="1"/>
  <c r="B11" s="1"/>
  <c r="B12" s="1"/>
  <c r="B13" s="1"/>
  <c r="B14" s="1"/>
  <c r="B15" s="1"/>
  <c r="B16" s="1"/>
  <c r="B17" s="1"/>
  <c r="B18" s="1"/>
  <c r="B19" s="1"/>
  <c r="B20" s="1"/>
  <c r="B21" s="1"/>
  <c r="B22" s="1"/>
  <c r="B23" s="1"/>
  <c r="B24" s="1"/>
  <c r="B25" s="1"/>
  <c r="B26" s="1"/>
  <c r="B27" s="1"/>
  <c r="B28" s="1"/>
  <c r="B29"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6" i="19"/>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6" i="18"/>
  <c r="B7" s="1"/>
  <c r="B8" s="1"/>
  <c r="B9" s="1"/>
  <c r="B10" s="1"/>
  <c r="B11" s="1"/>
  <c r="B12" s="1"/>
  <c r="B13" s="1"/>
  <c r="B14" s="1"/>
  <c r="B15" s="1"/>
  <c r="B16" s="1"/>
  <c r="B17" s="1"/>
  <c r="B18" s="1"/>
  <c r="B19" s="1"/>
  <c r="B20" s="1"/>
  <c r="B21" s="1"/>
  <c r="B22" s="1"/>
  <c r="B23" s="1"/>
  <c r="B24" s="1"/>
  <c r="B25" s="1"/>
  <c r="B6" i="17"/>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 i="16"/>
  <c r="C7" i="9"/>
  <c r="C8" s="1"/>
  <c r="C9" s="1"/>
  <c r="C10" s="1"/>
  <c r="C11" s="1"/>
  <c r="C12" s="1"/>
  <c r="C13" s="1"/>
  <c r="C14" s="1"/>
  <c r="C15" s="1"/>
  <c r="C16" s="1"/>
  <c r="C17" s="1"/>
  <c r="C18" s="1"/>
  <c r="C19" s="1"/>
  <c r="C20" s="1"/>
  <c r="C21" s="1"/>
  <c r="C22" s="1"/>
  <c r="C23" s="1"/>
  <c r="C24" s="1"/>
  <c r="C25" s="1"/>
  <c r="C26" s="1"/>
  <c r="C27" s="1"/>
  <c r="C28" s="1"/>
  <c r="C29" s="1"/>
  <c r="C30" s="1"/>
  <c r="C31" s="1"/>
  <c r="C32" s="1"/>
  <c r="C33" s="1"/>
  <c r="C34" s="1"/>
  <c r="C35" s="1"/>
  <c r="C36" s="1"/>
  <c r="C37" s="1"/>
  <c r="C38" s="1"/>
  <c r="C39" s="1"/>
  <c r="C40" s="1"/>
  <c r="C41" s="1"/>
  <c r="C42" s="1"/>
  <c r="C43" s="1"/>
  <c r="C44" s="1"/>
  <c r="C45" s="1"/>
  <c r="C46" s="1"/>
  <c r="C47" s="1"/>
  <c r="C48" s="1"/>
  <c r="C49" s="1"/>
  <c r="C50" s="1"/>
  <c r="C51" s="1"/>
  <c r="C52" s="1"/>
  <c r="C53" s="1"/>
  <c r="C54" s="1"/>
  <c r="C55" s="1"/>
  <c r="C56" s="1"/>
  <c r="C57" s="1"/>
  <c r="C58" s="1"/>
  <c r="C59" s="1"/>
  <c r="C60" s="1"/>
  <c r="C61" s="1"/>
  <c r="C62" s="1"/>
  <c r="C63" s="1"/>
  <c r="C64" s="1"/>
  <c r="C65" s="1"/>
  <c r="C66" s="1"/>
  <c r="C67" s="1"/>
  <c r="C68" s="1"/>
  <c r="C69" s="1"/>
  <c r="C70" s="1"/>
  <c r="C71" s="1"/>
  <c r="C72" s="1"/>
  <c r="C73" s="1"/>
  <c r="C74" s="1"/>
  <c r="C75" s="1"/>
  <c r="C76" s="1"/>
  <c r="C77" s="1"/>
  <c r="C78" s="1"/>
  <c r="C79" s="1"/>
  <c r="C80" s="1"/>
  <c r="C81" s="1"/>
  <c r="C82" s="1"/>
  <c r="C83" s="1"/>
  <c r="C84" s="1"/>
  <c r="C85" s="1"/>
  <c r="C86" s="1"/>
  <c r="C87" s="1"/>
  <c r="C88" s="1"/>
  <c r="C89" s="1"/>
  <c r="C90" s="1"/>
  <c r="C91" s="1"/>
  <c r="C92" s="1"/>
  <c r="C93" s="1"/>
  <c r="C94" s="1"/>
  <c r="C95" s="1"/>
  <c r="C96" s="1"/>
  <c r="C97" s="1"/>
  <c r="C98" s="1"/>
  <c r="C99" s="1"/>
  <c r="C100" s="1"/>
  <c r="C101" s="1"/>
  <c r="C102" s="1"/>
  <c r="C103" s="1"/>
  <c r="C104" s="1"/>
  <c r="C105" s="1"/>
  <c r="C106" s="1"/>
  <c r="C107" s="1"/>
  <c r="C108" s="1"/>
  <c r="C109" s="1"/>
  <c r="C110" s="1"/>
  <c r="C111" s="1"/>
  <c r="C112" s="1"/>
  <c r="C113" s="1"/>
  <c r="C114" s="1"/>
  <c r="C115" s="1"/>
  <c r="C116" s="1"/>
  <c r="C117" s="1"/>
  <c r="C118" s="1"/>
  <c r="C119" s="1"/>
  <c r="C120" s="1"/>
  <c r="C121" s="1"/>
  <c r="C122" s="1"/>
  <c r="C123" s="1"/>
  <c r="C124" s="1"/>
  <c r="C125" s="1"/>
  <c r="C126" s="1"/>
  <c r="B6" i="15"/>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D6" i="7"/>
  <c r="D7"/>
  <c r="D8" s="1"/>
  <c r="D9" s="1"/>
  <c r="D10" s="1"/>
  <c r="D11" s="1"/>
  <c r="D12" s="1"/>
  <c r="D13" s="1"/>
  <c r="D14" s="1"/>
  <c r="D15" s="1"/>
  <c r="D16" s="1"/>
  <c r="D17" s="1"/>
  <c r="D18" s="1"/>
  <c r="D19" s="1"/>
  <c r="D20" s="1"/>
  <c r="D21" s="1"/>
  <c r="D22" s="1"/>
  <c r="D23" s="1"/>
  <c r="B23" s="1"/>
  <c r="C5" i="6"/>
  <c r="K6" i="3"/>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6"/>
  <c r="K57"/>
  <c r="K58"/>
  <c r="K59"/>
  <c r="K60"/>
  <c r="K61"/>
  <c r="K62"/>
  <c r="K63"/>
  <c r="K64"/>
  <c r="K65"/>
  <c r="K66"/>
  <c r="K67"/>
  <c r="K68"/>
  <c r="K69"/>
  <c r="K70"/>
  <c r="K71"/>
  <c r="K72"/>
  <c r="K73"/>
  <c r="K74"/>
  <c r="K75"/>
  <c r="K76"/>
  <c r="K77"/>
  <c r="K78"/>
  <c r="K79"/>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9"/>
  <c r="K150"/>
  <c r="K151"/>
  <c r="K152"/>
  <c r="M6" i="4"/>
  <c r="M7"/>
  <c r="M8"/>
  <c r="M9"/>
  <c r="M10"/>
  <c r="M11"/>
  <c r="M12"/>
  <c r="M13"/>
  <c r="M14"/>
  <c r="M15"/>
  <c r="M5"/>
  <c r="H6"/>
  <c r="H7"/>
  <c r="H8"/>
  <c r="H9"/>
  <c r="H10"/>
  <c r="H11"/>
  <c r="H12"/>
  <c r="H13"/>
  <c r="H14"/>
  <c r="H15"/>
  <c r="H5"/>
  <c r="D3" i="2"/>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2"/>
  <c r="B5" i="10"/>
  <c r="D6" i="6"/>
  <c r="C6" s="1"/>
  <c r="D7"/>
  <c r="D8" s="1"/>
  <c r="D9" s="1"/>
  <c r="B21" i="7"/>
  <c r="B20"/>
  <c r="B8"/>
  <c r="B12"/>
  <c r="B14"/>
  <c r="B18"/>
  <c r="B19"/>
  <c r="B6"/>
  <c r="B5"/>
  <c r="I16" i="2"/>
  <c r="I17"/>
  <c r="I18"/>
  <c r="I19"/>
  <c r="I20"/>
  <c r="I21"/>
  <c r="I22"/>
  <c r="I23"/>
  <c r="I24"/>
  <c r="I25"/>
  <c r="I15"/>
  <c r="B18" i="25" l="1"/>
  <c r="B19" s="1"/>
  <c r="B20" s="1"/>
  <c r="B21" s="1"/>
  <c r="B22" s="1"/>
  <c r="B23" s="1"/>
  <c r="B75" i="24"/>
  <c r="B76" s="1"/>
  <c r="B77" s="1"/>
  <c r="B78" s="1"/>
  <c r="B79" s="1"/>
  <c r="B80" s="1"/>
  <c r="B81" s="1"/>
  <c r="B82" s="1"/>
  <c r="B83" s="1"/>
  <c r="B86" s="1"/>
  <c r="B87" s="1"/>
  <c r="B88" s="1"/>
  <c r="B89" s="1"/>
  <c r="B90" s="1"/>
  <c r="B91" s="1"/>
  <c r="B92" s="1"/>
  <c r="B31" i="23"/>
  <c r="B32" s="1"/>
  <c r="B33" s="1"/>
  <c r="B34" s="1"/>
  <c r="B35" s="1"/>
  <c r="B36" s="1"/>
  <c r="B37" s="1"/>
  <c r="B38" s="1"/>
  <c r="B39" s="1"/>
  <c r="B40" s="1"/>
  <c r="B41" s="1"/>
  <c r="B42" s="1"/>
  <c r="B43" s="1"/>
  <c r="B44" s="1"/>
  <c r="B45" s="1"/>
  <c r="B46" s="1"/>
  <c r="B47" s="1"/>
  <c r="B48" s="1"/>
  <c r="B49" s="1"/>
  <c r="B50" s="1"/>
  <c r="B51" s="1"/>
  <c r="B52" s="1"/>
  <c r="B53" s="1"/>
  <c r="B54"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25" i="22"/>
  <c r="B26" s="1"/>
  <c r="B27" s="1"/>
  <c r="B28" s="1"/>
  <c r="B29" s="1"/>
  <c r="B30" s="1"/>
  <c r="B31" s="1"/>
  <c r="B40" i="21"/>
  <c r="B41" s="1"/>
  <c r="B42" s="1"/>
  <c r="B26" i="18"/>
  <c r="B27" s="1"/>
  <c r="B28" s="1"/>
  <c r="B29" s="1"/>
  <c r="B30" s="1"/>
  <c r="B31" s="1"/>
  <c r="B32" s="1"/>
  <c r="B33" s="1"/>
  <c r="B34" s="1"/>
  <c r="B35" s="1"/>
  <c r="B36" s="1"/>
  <c r="B37" s="1"/>
  <c r="B38" s="1"/>
  <c r="B39" s="1"/>
  <c r="B40" s="1"/>
  <c r="B41" s="1"/>
  <c r="B42" s="1"/>
  <c r="B43" s="1"/>
  <c r="B44" s="1"/>
  <c r="B45" s="1"/>
  <c r="B46" s="1"/>
  <c r="D10" i="6"/>
  <c r="C9"/>
  <c r="C7"/>
  <c r="B7" i="7"/>
  <c r="B16"/>
  <c r="B11"/>
  <c r="B30" i="20"/>
  <c r="B15" i="7"/>
  <c r="B10"/>
  <c r="B62" i="17"/>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C10" i="6"/>
  <c r="D11"/>
  <c r="C8"/>
  <c r="B17" i="7"/>
  <c r="B13"/>
  <c r="B9"/>
  <c r="B22"/>
  <c r="B3" i="15"/>
  <c r="B7" i="16"/>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7" s="1"/>
  <c r="B228" s="1"/>
  <c r="B229" s="1"/>
  <c r="B230" s="1"/>
  <c r="B231" s="1"/>
  <c r="B232" s="1"/>
  <c r="B233" s="1"/>
  <c r="B234" s="1"/>
  <c r="B235" s="1"/>
  <c r="B236" s="1"/>
  <c r="B237" s="1"/>
  <c r="B238" s="1"/>
  <c r="B239" s="1"/>
  <c r="B24" i="25" l="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93" i="24"/>
  <c r="B94" s="1"/>
  <c r="B95" s="1"/>
  <c r="B96" s="1"/>
  <c r="B97" s="1"/>
  <c r="B98" s="1"/>
  <c r="B99" s="1"/>
  <c r="B100" s="1"/>
  <c r="B101" s="1"/>
  <c r="B102" s="1"/>
  <c r="B103" s="1"/>
  <c r="B32" i="22"/>
  <c r="B33" s="1"/>
  <c r="B34" s="1"/>
  <c r="B35" s="1"/>
  <c r="B36" s="1"/>
  <c r="B37" s="1"/>
  <c r="B38" s="1"/>
  <c r="B39" s="1"/>
  <c r="B40" s="1"/>
  <c r="B41" s="1"/>
  <c r="B42" s="1"/>
  <c r="B43" s="1"/>
  <c r="B44" s="1"/>
  <c r="B45" s="1"/>
  <c r="B46" s="1"/>
  <c r="B47" s="1"/>
  <c r="B48" s="1"/>
  <c r="B49" s="1"/>
  <c r="B50" s="1"/>
  <c r="B51" s="1"/>
  <c r="B52" s="1"/>
  <c r="B53" s="1"/>
  <c r="B54" s="1"/>
  <c r="B55" s="1"/>
  <c r="B56" s="1"/>
  <c r="B57" s="1"/>
  <c r="B58" s="1"/>
  <c r="B59" s="1"/>
  <c r="B43" i="21"/>
  <c r="B44" s="1"/>
  <c r="B45" s="1"/>
  <c r="B46" s="1"/>
  <c r="B47" s="1"/>
  <c r="B48" s="1"/>
  <c r="B49" s="1"/>
  <c r="B50" s="1"/>
  <c r="B47" i="18"/>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96" i="17"/>
  <c r="B97" s="1"/>
  <c r="B3" i="16"/>
  <c r="C11" i="6"/>
  <c r="D12"/>
  <c r="B60" i="22" l="1"/>
  <c r="B61" s="1"/>
  <c r="B62" s="1"/>
  <c r="B63" s="1"/>
  <c r="B64" s="1"/>
  <c r="B65" s="1"/>
  <c r="B66" s="1"/>
  <c r="B67" s="1"/>
  <c r="B68" s="1"/>
  <c r="B51" i="21"/>
  <c r="B52" s="1"/>
  <c r="B53" s="1"/>
  <c r="B54" s="1"/>
  <c r="B55" s="1"/>
  <c r="B56" s="1"/>
  <c r="B57" s="1"/>
  <c r="B58" s="1"/>
  <c r="B59" s="1"/>
  <c r="B60" s="1"/>
  <c r="B61" s="1"/>
  <c r="B62" s="1"/>
  <c r="B63" s="1"/>
  <c r="B64" s="1"/>
  <c r="B65" s="1"/>
  <c r="B66" s="1"/>
  <c r="B67" s="1"/>
  <c r="B68" s="1"/>
  <c r="B69" s="1"/>
  <c r="B70" s="1"/>
  <c r="B71"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62" i="18"/>
  <c r="B163" s="1"/>
  <c r="B164" s="1"/>
  <c r="B165" s="1"/>
  <c r="B166" s="1"/>
  <c r="B167" s="1"/>
  <c r="B168" s="1"/>
  <c r="B169" s="1"/>
  <c r="B170" s="1"/>
  <c r="B171" s="1"/>
  <c r="B172" s="1"/>
  <c r="B173" s="1"/>
  <c r="B174" s="1"/>
  <c r="B175" s="1"/>
  <c r="B98" i="17"/>
  <c r="B99" s="1"/>
  <c r="B100" s="1"/>
  <c r="B101" s="1"/>
  <c r="B102" s="1"/>
  <c r="B103" s="1"/>
  <c r="B104" s="1"/>
  <c r="B105" s="1"/>
  <c r="B106" s="1"/>
  <c r="B107" s="1"/>
  <c r="B108" s="1"/>
  <c r="B109" s="1"/>
  <c r="B110" s="1"/>
  <c r="B111" s="1"/>
  <c r="B112" s="1"/>
  <c r="B113" s="1"/>
  <c r="B114" s="1"/>
  <c r="B115" s="1"/>
  <c r="B116" s="1"/>
  <c r="B117" s="1"/>
  <c r="B118" s="1"/>
  <c r="B119" s="1"/>
  <c r="B120" s="1"/>
  <c r="D13" i="6"/>
  <c r="C12"/>
  <c r="B69" i="22" l="1"/>
  <c r="B70" s="1"/>
  <c r="B71" s="1"/>
  <c r="B72" s="1"/>
  <c r="B73" s="1"/>
  <c r="B74" s="1"/>
  <c r="B75" s="1"/>
  <c r="B76" s="1"/>
  <c r="B77" s="1"/>
  <c r="B78"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76" i="18"/>
  <c r="B177" s="1"/>
  <c r="B178" s="1"/>
  <c r="B179" s="1"/>
  <c r="B180" s="1"/>
  <c r="B181" s="1"/>
  <c r="B182" s="1"/>
  <c r="B183" s="1"/>
  <c r="B184" s="1"/>
  <c r="B185" s="1"/>
  <c r="B186" s="1"/>
  <c r="B187" s="1"/>
  <c r="B188" s="1"/>
  <c r="B189" s="1"/>
  <c r="B190" s="1"/>
  <c r="B191" s="1"/>
  <c r="B192" s="1"/>
  <c r="B193" s="1"/>
  <c r="B194" s="1"/>
  <c r="B195" s="1"/>
  <c r="B196" s="1"/>
  <c r="B121" i="17"/>
  <c r="B122" s="1"/>
  <c r="C13" i="6"/>
  <c r="D14"/>
  <c r="B197" i="18" l="1"/>
  <c r="B198" s="1"/>
  <c r="B199" s="1"/>
  <c r="B200" s="1"/>
  <c r="B201" s="1"/>
  <c r="B202" s="1"/>
  <c r="B203" s="1"/>
  <c r="B204" s="1"/>
  <c r="B205" s="1"/>
  <c r="B206" s="1"/>
  <c r="B207" s="1"/>
  <c r="B208" s="1"/>
  <c r="B209" s="1"/>
  <c r="B210" s="1"/>
  <c r="B211" s="1"/>
  <c r="B212" s="1"/>
  <c r="B213" s="1"/>
  <c r="B214" s="1"/>
  <c r="B123" i="17"/>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B240" s="1"/>
  <c r="B241" s="1"/>
  <c r="B242" s="1"/>
  <c r="B243" s="1"/>
  <c r="B244" s="1"/>
  <c r="B245" s="1"/>
  <c r="B246" s="1"/>
  <c r="B247" s="1"/>
  <c r="B248" s="1"/>
  <c r="B249" s="1"/>
  <c r="B250" s="1"/>
  <c r="B251" s="1"/>
  <c r="B252" s="1"/>
  <c r="B253" s="1"/>
  <c r="B254" s="1"/>
  <c r="B255" s="1"/>
  <c r="B256" s="1"/>
  <c r="B257" s="1"/>
  <c r="B258" s="1"/>
  <c r="B259" s="1"/>
  <c r="B260" s="1"/>
  <c r="B261" s="1"/>
  <c r="B262" s="1"/>
  <c r="B263" s="1"/>
  <c r="B264" s="1"/>
  <c r="B265" s="1"/>
  <c r="B266" s="1"/>
  <c r="B267" s="1"/>
  <c r="B268" s="1"/>
  <c r="B269" s="1"/>
  <c r="B270" s="1"/>
  <c r="B271" s="1"/>
  <c r="B272" s="1"/>
  <c r="B273" s="1"/>
  <c r="B274" s="1"/>
  <c r="B275" s="1"/>
  <c r="B276" s="1"/>
  <c r="B277" s="1"/>
  <c r="B278" s="1"/>
  <c r="B279" s="1"/>
  <c r="B280" s="1"/>
  <c r="B281" s="1"/>
  <c r="B282" s="1"/>
  <c r="B283" s="1"/>
  <c r="B284" s="1"/>
  <c r="B285" s="1"/>
  <c r="B286" s="1"/>
  <c r="B287" s="1"/>
  <c r="B288" s="1"/>
  <c r="B289" s="1"/>
  <c r="B290" s="1"/>
  <c r="B291" s="1"/>
  <c r="B292" s="1"/>
  <c r="B293" s="1"/>
  <c r="B294" s="1"/>
  <c r="B295" s="1"/>
  <c r="B296" s="1"/>
  <c r="B297" s="1"/>
  <c r="B298" s="1"/>
  <c r="B299" s="1"/>
  <c r="B300" s="1"/>
  <c r="B301" s="1"/>
  <c r="B302" s="1"/>
  <c r="B303" s="1"/>
  <c r="B304" s="1"/>
  <c r="B305" s="1"/>
  <c r="B306" s="1"/>
  <c r="B307" s="1"/>
  <c r="B308" s="1"/>
  <c r="B309" s="1"/>
  <c r="B310" s="1"/>
  <c r="B311" s="1"/>
  <c r="B312" s="1"/>
  <c r="B313" s="1"/>
  <c r="B314" s="1"/>
  <c r="B315" s="1"/>
  <c r="B316" s="1"/>
  <c r="B317" s="1"/>
  <c r="B318" s="1"/>
  <c r="B319" s="1"/>
  <c r="B320" s="1"/>
  <c r="B321" s="1"/>
  <c r="B322" s="1"/>
  <c r="B323" s="1"/>
  <c r="B324" s="1"/>
  <c r="B325" s="1"/>
  <c r="B326" s="1"/>
  <c r="B327" s="1"/>
  <c r="B328" s="1"/>
  <c r="B329" s="1"/>
  <c r="B330" s="1"/>
  <c r="B331" s="1"/>
  <c r="B332" s="1"/>
  <c r="B333" s="1"/>
  <c r="B334" s="1"/>
  <c r="B335" s="1"/>
  <c r="B336" s="1"/>
  <c r="B337" s="1"/>
  <c r="B338" s="1"/>
  <c r="B339" s="1"/>
  <c r="D15" i="6"/>
  <c r="C14"/>
  <c r="B340" i="17" l="1"/>
  <c r="B341" s="1"/>
  <c r="D16" i="6"/>
  <c r="C15"/>
  <c r="B342" i="17" l="1"/>
  <c r="B343" s="1"/>
  <c r="B344" s="1"/>
  <c r="B345" s="1"/>
  <c r="B346" s="1"/>
  <c r="B347" s="1"/>
  <c r="B348" s="1"/>
  <c r="B349" s="1"/>
  <c r="B350" s="1"/>
  <c r="B351" s="1"/>
  <c r="B3"/>
  <c r="D17" i="6"/>
  <c r="C16"/>
  <c r="C17" l="1"/>
  <c r="D18"/>
  <c r="B3" i="24" l="1"/>
  <c r="D19" i="6"/>
  <c r="C18"/>
  <c r="C19" l="1"/>
  <c r="D20"/>
  <c r="B3" i="21" l="1"/>
  <c r="D21" i="6"/>
  <c r="C20"/>
  <c r="C21" l="1"/>
  <c r="D22"/>
  <c r="B3" i="25" l="1"/>
  <c r="B3" i="23"/>
  <c r="B3" i="19"/>
  <c r="D23" i="6"/>
  <c r="C22"/>
  <c r="D24" l="1"/>
  <c r="C23"/>
  <c r="D25" l="1"/>
  <c r="C24"/>
  <c r="C25" l="1"/>
  <c r="D26"/>
  <c r="B3" i="20" l="1"/>
  <c r="D27" i="6"/>
  <c r="C26"/>
  <c r="C27" l="1"/>
  <c r="D28"/>
  <c r="B3" i="22" l="1"/>
  <c r="D29" i="6"/>
  <c r="C28"/>
  <c r="C29" l="1"/>
  <c r="D30"/>
  <c r="D31" l="1"/>
  <c r="C30"/>
  <c r="C31" l="1"/>
  <c r="D32"/>
  <c r="D33" l="1"/>
  <c r="C32"/>
  <c r="C33" l="1"/>
  <c r="D34"/>
  <c r="D35" l="1"/>
  <c r="C34"/>
  <c r="C35" l="1"/>
  <c r="D36"/>
  <c r="D37" l="1"/>
  <c r="C36"/>
  <c r="C37" l="1"/>
  <c r="D38"/>
  <c r="D39" l="1"/>
  <c r="C38"/>
  <c r="C39" l="1"/>
  <c r="D40"/>
  <c r="D41" l="1"/>
  <c r="C40"/>
  <c r="C41" l="1"/>
  <c r="D42"/>
  <c r="D43" l="1"/>
  <c r="C42"/>
  <c r="C43" l="1"/>
  <c r="D44"/>
  <c r="D45" l="1"/>
  <c r="C44"/>
  <c r="D46" l="1"/>
  <c r="C45"/>
  <c r="C46" l="1"/>
  <c r="D47"/>
  <c r="C47" l="1"/>
  <c r="D48"/>
  <c r="C48" l="1"/>
  <c r="D49"/>
  <c r="C49" l="1"/>
  <c r="D50"/>
  <c r="C50" l="1"/>
  <c r="D51"/>
  <c r="C51" l="1"/>
  <c r="D52"/>
  <c r="C52" s="1"/>
  <c r="B3" i="18" l="1"/>
</calcChain>
</file>

<file path=xl/sharedStrings.xml><?xml version="1.0" encoding="utf-8"?>
<sst xmlns="http://schemas.openxmlformats.org/spreadsheetml/2006/main" count="14296" uniqueCount="4309">
  <si>
    <t>Rosario</t>
  </si>
  <si>
    <t>Estacion</t>
  </si>
  <si>
    <t>Linea</t>
  </si>
  <si>
    <t>Rojo</t>
  </si>
  <si>
    <t>Naranja</t>
  </si>
  <si>
    <t>Enlaces</t>
  </si>
  <si>
    <t>Tiempo</t>
  </si>
  <si>
    <t>1 Min</t>
  </si>
  <si>
    <t>Inst. Petroleo</t>
  </si>
  <si>
    <t>Tacuba</t>
  </si>
  <si>
    <t>Deportivo 18 marzo</t>
  </si>
  <si>
    <t>La Raza</t>
  </si>
  <si>
    <t>Amarillo</t>
  </si>
  <si>
    <t>Verde</t>
  </si>
  <si>
    <t>Martin Carrera</t>
  </si>
  <si>
    <t>Consulado</t>
  </si>
  <si>
    <t>Agua</t>
  </si>
  <si>
    <t>Guerrero</t>
  </si>
  <si>
    <t>Oceania</t>
  </si>
  <si>
    <t>Morelos</t>
  </si>
  <si>
    <t>San Lazaro</t>
  </si>
  <si>
    <t>Pantitlan</t>
  </si>
  <si>
    <t>Gris</t>
  </si>
  <si>
    <t>Hidalgo</t>
  </si>
  <si>
    <t>Garibaldi</t>
  </si>
  <si>
    <t>Bellas Artes</t>
  </si>
  <si>
    <t>Verde C</t>
  </si>
  <si>
    <t>Candelaria</t>
  </si>
  <si>
    <t>Rosa</t>
  </si>
  <si>
    <t>Jamaica</t>
  </si>
  <si>
    <t>Café</t>
  </si>
  <si>
    <t>Tacubaya</t>
  </si>
  <si>
    <t>Azul</t>
  </si>
  <si>
    <t>Balderas</t>
  </si>
  <si>
    <t>Salto del Agua</t>
  </si>
  <si>
    <t>Pino Suarez</t>
  </si>
  <si>
    <t>Centro Medico</t>
  </si>
  <si>
    <t>Chabacano</t>
  </si>
  <si>
    <t>Sta Anita</t>
  </si>
  <si>
    <t>Distancia
(Estaciones)</t>
  </si>
  <si>
    <t>Distancia 
Real</t>
  </si>
  <si>
    <t>B</t>
  </si>
  <si>
    <t>1 Rosa</t>
  </si>
  <si>
    <t>2 Azul</t>
  </si>
  <si>
    <t>3 Verde</t>
  </si>
  <si>
    <t>4 Agua</t>
  </si>
  <si>
    <t>7 Naranja</t>
  </si>
  <si>
    <t>8 Verde C</t>
  </si>
  <si>
    <t>9 Café</t>
  </si>
  <si>
    <t>B Gris</t>
  </si>
  <si>
    <t>ID</t>
  </si>
  <si>
    <t>1 Rosario</t>
  </si>
  <si>
    <t>16 Tacubaya</t>
  </si>
  <si>
    <t>13 Tacuba</t>
  </si>
  <si>
    <t>22 Chabacano</t>
  </si>
  <si>
    <t>21 Centro Médico</t>
  </si>
  <si>
    <t>3 Deportivo 18 Marzo</t>
  </si>
  <si>
    <t>4 Martin Cabrera</t>
  </si>
  <si>
    <t>24 Sta Anita</t>
  </si>
  <si>
    <t>2 Ins. Petroleo</t>
  </si>
  <si>
    <t>12 Pantitlan</t>
  </si>
  <si>
    <t>9 Garibaldi</t>
  </si>
  <si>
    <t>8 Guerrero</t>
  </si>
  <si>
    <t>7 Oceania</t>
  </si>
  <si>
    <t>,</t>
  </si>
  <si>
    <t>id_nodo</t>
  </si>
  <si>
    <t>entradas</t>
  </si>
  <si>
    <t>ventanillas</t>
  </si>
  <si>
    <t>coordenadaX</t>
  </si>
  <si>
    <t>coordenadaY</t>
  </si>
  <si>
    <t>imagen</t>
  </si>
  <si>
    <t>mapa</t>
  </si>
  <si>
    <t>estatus</t>
  </si>
  <si>
    <t>Tezozomoc</t>
  </si>
  <si>
    <t>Azcapotzalco</t>
  </si>
  <si>
    <t>Norte 45</t>
  </si>
  <si>
    <t>Vallejo</t>
  </si>
  <si>
    <t>Lindavista</t>
  </si>
  <si>
    <t>Aquiles Serdán</t>
  </si>
  <si>
    <t>Camarones</t>
  </si>
  <si>
    <t>San Joaquín</t>
  </si>
  <si>
    <t>Polanco</t>
  </si>
  <si>
    <t>Auditorio</t>
  </si>
  <si>
    <t>Constituyentes</t>
  </si>
  <si>
    <t>Sn. Pedro de los Pinos</t>
  </si>
  <si>
    <t>Sn. Antonio</t>
  </si>
  <si>
    <t>Barranca del Muerto</t>
  </si>
  <si>
    <t>Autobuses del Norte</t>
  </si>
  <si>
    <t>Misterios</t>
  </si>
  <si>
    <t>Valle Gómez</t>
  </si>
  <si>
    <t>Terminal Aérea</t>
  </si>
  <si>
    <t>Hangares</t>
  </si>
  <si>
    <t>Indios Verdes</t>
  </si>
  <si>
    <t>Potrero</t>
  </si>
  <si>
    <t>Tlatelolco</t>
  </si>
  <si>
    <t>Juarez</t>
  </si>
  <si>
    <t>Hospital General</t>
  </si>
  <si>
    <t>Etiopia / Plaza de la Transparencia</t>
  </si>
  <si>
    <t>Eugenia</t>
  </si>
  <si>
    <t>División del Norte</t>
  </si>
  <si>
    <t>Coyoacán</t>
  </si>
  <si>
    <t>Viveros / Derechos Humanos</t>
  </si>
  <si>
    <t>Miguel Ángel de Quevedo</t>
  </si>
  <si>
    <t>Copilco</t>
  </si>
  <si>
    <t>Universidad</t>
  </si>
  <si>
    <t>Bondojito</t>
  </si>
  <si>
    <t>Canal del Norte</t>
  </si>
  <si>
    <t>Fray Servando</t>
  </si>
  <si>
    <t>Cuatro Caminos</t>
  </si>
  <si>
    <t>Panteones</t>
  </si>
  <si>
    <t>Popotla</t>
  </si>
  <si>
    <t>Colegio Militar</t>
  </si>
  <si>
    <t>Normal</t>
  </si>
  <si>
    <t>San Cosme</t>
  </si>
  <si>
    <t>Revolución</t>
  </si>
  <si>
    <t>Allende</t>
  </si>
  <si>
    <t>San Antonio Abad</t>
  </si>
  <si>
    <t>Viaducto</t>
  </si>
  <si>
    <t>Xola</t>
  </si>
  <si>
    <t>Nativitas</t>
  </si>
  <si>
    <t>Portales</t>
  </si>
  <si>
    <t>General Anaya</t>
  </si>
  <si>
    <t>Tasqueña</t>
  </si>
  <si>
    <t>Buenavista</t>
  </si>
  <si>
    <t>Lagunilla</t>
  </si>
  <si>
    <t>Tepito</t>
  </si>
  <si>
    <t>Impulsora</t>
  </si>
  <si>
    <t>Río de los Remedios</t>
  </si>
  <si>
    <t>Ecatepec</t>
  </si>
  <si>
    <t>Ciudad Azteca</t>
  </si>
  <si>
    <t>Observatorio</t>
  </si>
  <si>
    <t>Chapultepec</t>
  </si>
  <si>
    <t>Sevilla</t>
  </si>
  <si>
    <t>Insurgentes</t>
  </si>
  <si>
    <t>Isabel la Católica</t>
  </si>
  <si>
    <t>Merced</t>
  </si>
  <si>
    <t>Moctezuma</t>
  </si>
  <si>
    <t>Balbuena</t>
  </si>
  <si>
    <t>Gomez Farias</t>
  </si>
  <si>
    <t>Zaragoza</t>
  </si>
  <si>
    <t>Patriotismo</t>
  </si>
  <si>
    <t>Chilpancingo</t>
  </si>
  <si>
    <t>Mixiuhca</t>
  </si>
  <si>
    <t>Ciudad Deportiva</t>
  </si>
  <si>
    <t>Puebla</t>
  </si>
  <si>
    <t>Doctores</t>
  </si>
  <si>
    <t>Obrera</t>
  </si>
  <si>
    <t>La Viga</t>
  </si>
  <si>
    <t>Coyuya</t>
  </si>
  <si>
    <t>Iztacalco</t>
  </si>
  <si>
    <t>Apatlaco</t>
  </si>
  <si>
    <t>Aculco</t>
  </si>
  <si>
    <t>Atlalilco</t>
  </si>
  <si>
    <t>Iztapalapa</t>
  </si>
  <si>
    <t>Cerro de la Estrella</t>
  </si>
  <si>
    <t>UAM-1</t>
  </si>
  <si>
    <t>Constitución de 1917</t>
  </si>
  <si>
    <t>Tepalcates</t>
  </si>
  <si>
    <t>Guelatao</t>
  </si>
  <si>
    <t>Acatitla</t>
  </si>
  <si>
    <t>Santa Martha</t>
  </si>
  <si>
    <t>Los Reyes</t>
  </si>
  <si>
    <t>La Paz</t>
  </si>
  <si>
    <t>Mixcoac</t>
  </si>
  <si>
    <t>R. Rubio</t>
  </si>
  <si>
    <t>'</t>
  </si>
  <si>
    <t>Grupo / Linea</t>
  </si>
  <si>
    <t>Inicio</t>
  </si>
  <si>
    <t>Fin</t>
  </si>
  <si>
    <t>16    Tacubaya</t>
  </si>
  <si>
    <t>13    Tacuba</t>
  </si>
  <si>
    <t>3    Deportivo 18 marzo</t>
  </si>
  <si>
    <t>4    Martin Carrera</t>
  </si>
  <si>
    <t>2    Inst. Petroleo</t>
  </si>
  <si>
    <t>1    Rosario</t>
  </si>
  <si>
    <t>9    Garibaldi</t>
  </si>
  <si>
    <t>7    Oceania</t>
  </si>
  <si>
    <t>8    Guerrero</t>
  </si>
  <si>
    <t>12    Pantitlan</t>
  </si>
  <si>
    <t>24    Sta Anita</t>
  </si>
  <si>
    <t>21    Centro Medico</t>
  </si>
  <si>
    <t>22    Chabacano</t>
  </si>
  <si>
    <t>145    La Paz</t>
  </si>
  <si>
    <t>id_grupo</t>
  </si>
  <si>
    <t>id_nodo_tb</t>
  </si>
  <si>
    <t>nombre</t>
  </si>
  <si>
    <t>103    Observatorio</t>
  </si>
  <si>
    <t>69    Cuatro Caminos</t>
  </si>
  <si>
    <t>86    Tasqueña</t>
  </si>
  <si>
    <t>51    Indios Verdes</t>
  </si>
  <si>
    <t>64    Universidad</t>
  </si>
  <si>
    <t>43    Politecnico</t>
  </si>
  <si>
    <t>42    Barranca del Muerto</t>
  </si>
  <si>
    <t>136    Constitución de 1917</t>
  </si>
  <si>
    <t>87    Buenavista</t>
  </si>
  <si>
    <t>102    Ciudad Azteca</t>
  </si>
  <si>
    <t>id_nodo_ini</t>
  </si>
  <si>
    <t>id_nodo_final</t>
  </si>
  <si>
    <t>tiempo</t>
  </si>
  <si>
    <t>distancia</t>
  </si>
  <si>
    <t>25    Tezozomoc</t>
  </si>
  <si>
    <t>32    Aquiles Serdán</t>
  </si>
  <si>
    <t>104    Juanacatlan</t>
  </si>
  <si>
    <t>105    Chapultepec</t>
  </si>
  <si>
    <t>106    Sevilla</t>
  </si>
  <si>
    <t>107    Insurgentes</t>
  </si>
  <si>
    <t>108    Cuauhtemoc</t>
  </si>
  <si>
    <t>17    Balderas</t>
  </si>
  <si>
    <t>18    Salto del Agua</t>
  </si>
  <si>
    <t>109    Isabel la Católica</t>
  </si>
  <si>
    <t>19    Pino Suarez</t>
  </si>
  <si>
    <t>110    Merced</t>
  </si>
  <si>
    <t>20    Candelaria</t>
  </si>
  <si>
    <t>11    San Lazaro</t>
  </si>
  <si>
    <t>111    Moctezuma</t>
  </si>
  <si>
    <t>112    Balbuena</t>
  </si>
  <si>
    <t>113    Boulevard Puerto Aereo</t>
  </si>
  <si>
    <t>114    Gomez Farias</t>
  </si>
  <si>
    <t>115    Zaragoza</t>
  </si>
  <si>
    <t>70    Panteones</t>
  </si>
  <si>
    <t>71    Cuitlahuac</t>
  </si>
  <si>
    <t>72    Popotla</t>
  </si>
  <si>
    <t>73    Colegio Militar</t>
  </si>
  <si>
    <t>74    Normal</t>
  </si>
  <si>
    <t>75    San Cosme</t>
  </si>
  <si>
    <t>76    Revolución</t>
  </si>
  <si>
    <t>14    Hidalgo</t>
  </si>
  <si>
    <t>15    Bellas Artes</t>
  </si>
  <si>
    <t>77    Allende</t>
  </si>
  <si>
    <t>78    Zocalo</t>
  </si>
  <si>
    <t>79    San Antonio Abad</t>
  </si>
  <si>
    <t>80    Viaducto</t>
  </si>
  <si>
    <t>81    Xola</t>
  </si>
  <si>
    <t>82    Villa de Cortez</t>
  </si>
  <si>
    <t>83    Nativitas</t>
  </si>
  <si>
    <t>84    Portales</t>
  </si>
  <si>
    <t>85    General Anaya</t>
  </si>
  <si>
    <t>52    Potrero</t>
  </si>
  <si>
    <t>5    La Raza</t>
  </si>
  <si>
    <t>53    Tlatelolco</t>
  </si>
  <si>
    <t>54    Juarez</t>
  </si>
  <si>
    <t>55    Niños Heroes</t>
  </si>
  <si>
    <t>56    Hospital General</t>
  </si>
  <si>
    <t>57    Etiopia / Plaza de la Transparencia</t>
  </si>
  <si>
    <t>58    Eugenia</t>
  </si>
  <si>
    <t>59    División del Norte</t>
  </si>
  <si>
    <t>60    Coyoacán</t>
  </si>
  <si>
    <t>61    Viveros / Derechos Humanos</t>
  </si>
  <si>
    <t>62    Miguel Ángel de Quevedo</t>
  </si>
  <si>
    <t>63    Copilco</t>
  </si>
  <si>
    <t>65    Talisman</t>
  </si>
  <si>
    <t>66    Bondojito</t>
  </si>
  <si>
    <t>6    Consulado</t>
  </si>
  <si>
    <t>67    Canal del Norte</t>
  </si>
  <si>
    <t>10    Morelos</t>
  </si>
  <si>
    <t>68    Fray Servando</t>
  </si>
  <si>
    <t>23    Jamaica</t>
  </si>
  <si>
    <t>44    Autobuses del Norte</t>
  </si>
  <si>
    <t>45    Misterios</t>
  </si>
  <si>
    <t>46    Valle Gómez</t>
  </si>
  <si>
    <t>47    Eduardo molina</t>
  </si>
  <si>
    <t>48    Aragon</t>
  </si>
  <si>
    <t>49    Terminal Aérea</t>
  </si>
  <si>
    <t>50    Hangares</t>
  </si>
  <si>
    <t>26    Azcapotzalco</t>
  </si>
  <si>
    <t>27    Ferreria</t>
  </si>
  <si>
    <t>28    Norte 45</t>
  </si>
  <si>
    <t>29    Vallejo</t>
  </si>
  <si>
    <t>30    Lindavista</t>
  </si>
  <si>
    <t>31    La Villa / Basilica</t>
  </si>
  <si>
    <t>33    Camarones</t>
  </si>
  <si>
    <t>34    Refineria</t>
  </si>
  <si>
    <t>35    San Joaquín</t>
  </si>
  <si>
    <t>36    Polanco</t>
  </si>
  <si>
    <t>37    Auditorio</t>
  </si>
  <si>
    <t>38    Constituyentes</t>
  </si>
  <si>
    <t>39    Sn. Pedro de los Pinos</t>
  </si>
  <si>
    <t>40    Sn. Antonio</t>
  </si>
  <si>
    <t>41    Mixcoac</t>
  </si>
  <si>
    <t xml:space="preserve">123    San Juan de Letran </t>
  </si>
  <si>
    <t>124    Doctores</t>
  </si>
  <si>
    <t>125    Obrera</t>
  </si>
  <si>
    <t>126    La Viga</t>
  </si>
  <si>
    <t>127    Coyuya</t>
  </si>
  <si>
    <t>128    Iztacalco</t>
  </si>
  <si>
    <t>129    Apatlaco</t>
  </si>
  <si>
    <t>130    Aculco</t>
  </si>
  <si>
    <t>131    Escuadron 201</t>
  </si>
  <si>
    <t>132    Atlalilco</t>
  </si>
  <si>
    <t>133    Iztapalapa</t>
  </si>
  <si>
    <t>134    Cerro de la Estrella</t>
  </si>
  <si>
    <t>135    UAM-1</t>
  </si>
  <si>
    <t>116    Patriotismo</t>
  </si>
  <si>
    <t>117    Chilpancingo</t>
  </si>
  <si>
    <t>118    Lazaro cardenas</t>
  </si>
  <si>
    <t>119    Mixiuhca</t>
  </si>
  <si>
    <t>120    Velodromo</t>
  </si>
  <si>
    <t>121    Ciudad Deportiva</t>
  </si>
  <si>
    <t>122    Puebla</t>
  </si>
  <si>
    <t>137    Agricola Oriental</t>
  </si>
  <si>
    <t>138    Canal de San juan</t>
  </si>
  <si>
    <t>139    Tepalcates</t>
  </si>
  <si>
    <t>140    Guelatao</t>
  </si>
  <si>
    <t>141    Peñon Viejo</t>
  </si>
  <si>
    <t>142    Acatitla</t>
  </si>
  <si>
    <t>143    Santa Martha</t>
  </si>
  <si>
    <t>144    Los Reyes</t>
  </si>
  <si>
    <t>88    Lagunilla</t>
  </si>
  <si>
    <t>89    Tepito</t>
  </si>
  <si>
    <t>90    Flores Magon</t>
  </si>
  <si>
    <t>91    R. Rubio</t>
  </si>
  <si>
    <t>92    Deportivo Oceania</t>
  </si>
  <si>
    <t>93    Bosque de Aragon</t>
  </si>
  <si>
    <t>94    Villa de Aragon</t>
  </si>
  <si>
    <t>95    Nezahualcoyotl</t>
  </si>
  <si>
    <t>96    Impulsora</t>
  </si>
  <si>
    <t>97    Río de los Remedios</t>
  </si>
  <si>
    <t>98    Muzquiz</t>
  </si>
  <si>
    <t>99    Ecatepec</t>
  </si>
  <si>
    <t>100    Olimpica</t>
  </si>
  <si>
    <t>101    Plaza Aragon</t>
  </si>
  <si>
    <t>Oceanía</t>
  </si>
  <si>
    <t>San Lázaro</t>
  </si>
  <si>
    <t>Pantitlán</t>
  </si>
  <si>
    <t>Ferrería</t>
  </si>
  <si>
    <t>La Villa / Basílica</t>
  </si>
  <si>
    <t>Refinería</t>
  </si>
  <si>
    <t>Politécnico</t>
  </si>
  <si>
    <t>Eduardo Molina</t>
  </si>
  <si>
    <t>Aragón</t>
  </si>
  <si>
    <t>Niños Héroes</t>
  </si>
  <si>
    <t>Talismán</t>
  </si>
  <si>
    <t>Zócalo</t>
  </si>
  <si>
    <t>Villa de Cortés</t>
  </si>
  <si>
    <t>Deportivo Oceanía</t>
  </si>
  <si>
    <t>Bosque de Aragón</t>
  </si>
  <si>
    <t>Villa de Aragón</t>
  </si>
  <si>
    <t>Olímpica</t>
  </si>
  <si>
    <t>Plaza Aragón</t>
  </si>
  <si>
    <t>Boulevard Puerto Aéreo</t>
  </si>
  <si>
    <t>Lázaro Cárdenas</t>
  </si>
  <si>
    <t>Velódromo</t>
  </si>
  <si>
    <t xml:space="preserve">San Juan de Letrán </t>
  </si>
  <si>
    <t>Escuadrón 201</t>
  </si>
  <si>
    <t>Agrícola Oriental</t>
  </si>
  <si>
    <t>Canal de San Juan</t>
  </si>
  <si>
    <t>Peñón Viejo</t>
  </si>
  <si>
    <t>Centro Médico</t>
  </si>
  <si>
    <t>Morado</t>
  </si>
  <si>
    <t>A</t>
  </si>
  <si>
    <t>id_clase</t>
  </si>
  <si>
    <t>Tienda Naturista</t>
  </si>
  <si>
    <t>Internet Publico</t>
  </si>
  <si>
    <t>Baños Publicos</t>
  </si>
  <si>
    <t>Comando SQL</t>
  </si>
  <si>
    <t>);</t>
  </si>
  <si>
    <t>");</t>
  </si>
  <si>
    <t>id_propiedad</t>
  </si>
  <si>
    <t>Descripcion</t>
  </si>
  <si>
    <t>Dominos Pizza</t>
  </si>
  <si>
    <t>Pizzeria de marca reconocida, donde podrás encontrar bebidas y otras cosas.</t>
  </si>
  <si>
    <t>Pizzeria Marios</t>
  </si>
  <si>
    <t>WiFi Prodigy</t>
  </si>
  <si>
    <t>Internet Publico Gratuito, 1 hora de tiempo para consultar lo que necesites.</t>
  </si>
  <si>
    <t>Internet Gandul</t>
  </si>
  <si>
    <t>Negocio de internet con la mejor coneccion a un precio razonable.</t>
  </si>
  <si>
    <t>Acceso WiFi gratuito para usuarios Prodigy Movil.</t>
  </si>
  <si>
    <t>Nutrisa</t>
  </si>
  <si>
    <t>Tienda naturista y para los antojos, tambien llevate un helado de yogourt. Delicioso.</t>
  </si>
  <si>
    <t>Naturista SA</t>
  </si>
  <si>
    <t>Tienda donde podrás comprar productos naturistas a buen costo.</t>
  </si>
  <si>
    <t>Esperemos que estén limpios. De lo contrario reportalo al tel 55-xxxxxx.</t>
  </si>
  <si>
    <t>OXXO</t>
  </si>
  <si>
    <t>Lo que necesites a cualquier hora.</t>
  </si>
  <si>
    <t>Abarrotes Don Carlos</t>
  </si>
  <si>
    <t>Encuentra lo que necesites a precios razonables.</t>
  </si>
  <si>
    <t>Periodicos x</t>
  </si>
  <si>
    <t>Compra tus revistas y periodicos para leer mientras viajas.</t>
  </si>
  <si>
    <t>El buen lector</t>
  </si>
  <si>
    <t>Para amenizar tu viajecito, compra un libro…</t>
  </si>
  <si>
    <t>Mc Donnals Café</t>
  </si>
  <si>
    <t>Los postres que quieras de la marca que ya conoces.</t>
  </si>
  <si>
    <t>Starbucks</t>
  </si>
  <si>
    <t>Los cafés mas dulces para endulzar tu trayecto.</t>
  </si>
  <si>
    <t>Nombre</t>
  </si>
  <si>
    <t>1    Linea 1     Rosa</t>
  </si>
  <si>
    <t>Lista Propiedades</t>
  </si>
  <si>
    <t>1      Dominos Pizza</t>
  </si>
  <si>
    <t>4      Internet Publico</t>
  </si>
  <si>
    <t>Hay un centro de intenet al final del pasillo de la linea.</t>
  </si>
  <si>
    <t>13      El buen lector</t>
  </si>
  <si>
    <t>3    Linea 3     Verde</t>
  </si>
  <si>
    <t>Dentro de la estacion, en el pasillo principal, del lado Izquierdo bajando por las escaleras de Mayorazgo.</t>
  </si>
  <si>
    <t>8      Naturista SA</t>
  </si>
  <si>
    <t>12      Periodicos x</t>
  </si>
  <si>
    <t>Dentro de la estación, en el pasillo principal. Se ve luego luego jaja…</t>
  </si>
  <si>
    <t>2      Pizzeria Luigis</t>
  </si>
  <si>
    <t>La vd no se si exista uno, pero este es mi estacion de pruebas</t>
  </si>
  <si>
    <t>Este debe traer el logo de la empresa</t>
  </si>
  <si>
    <t>14      Mc Donnals Café</t>
  </si>
  <si>
    <t>De tanta comida ya me dio hambre</t>
  </si>
  <si>
    <t>Lista Clases</t>
  </si>
  <si>
    <t>INSERT INTO tb_grupos VALUES(</t>
  </si>
  <si>
    <t>db.execSQL("</t>
  </si>
  <si>
    <t>Metro</t>
  </si>
  <si>
    <t>Sistema de Transporte Metro</t>
  </si>
  <si>
    <t>logometro</t>
  </si>
  <si>
    <t>mapametro</t>
  </si>
  <si>
    <t>Se encuentra en frente de ti... Bueno por ahí.. Buscale</t>
  </si>
  <si>
    <t>etiopia</t>
  </si>
  <si>
    <t>viveros</t>
  </si>
  <si>
    <t>Santa Anita</t>
  </si>
  <si>
    <t>El Rosario</t>
  </si>
  <si>
    <t>lavilla</t>
  </si>
  <si>
    <t>San Pedro de los Pinos</t>
  </si>
  <si>
    <t>San Antonio</t>
  </si>
  <si>
    <t>Santa Marta</t>
  </si>
  <si>
    <t>Romero Rubio</t>
  </si>
  <si>
    <t>Instituto del Petróleo</t>
  </si>
  <si>
    <t>Deportivo 18 de marzo</t>
  </si>
  <si>
    <t>Ricardo Flores Magón</t>
  </si>
  <si>
    <t>UAM I</t>
  </si>
  <si>
    <t>Zapata</t>
  </si>
  <si>
    <t>Ermita</t>
  </si>
  <si>
    <t>146    Zapata</t>
  </si>
  <si>
    <t>147    Ermita</t>
  </si>
  <si>
    <t>Café / Agua</t>
  </si>
  <si>
    <t>Verde C / Agua</t>
  </si>
  <si>
    <t>Naranja / Rojo</t>
  </si>
  <si>
    <t>Amarillo / Rojo</t>
  </si>
  <si>
    <t>Verde / Rojo</t>
  </si>
  <si>
    <t>Agua / Rojo</t>
  </si>
  <si>
    <t>Verde / Amarillo</t>
  </si>
  <si>
    <t>Agua / Amarillo</t>
  </si>
  <si>
    <t>Gris / Amarillo</t>
  </si>
  <si>
    <t>Verde / Gris</t>
  </si>
  <si>
    <t>Verde C / Gris</t>
  </si>
  <si>
    <t>Agua / Gris</t>
  </si>
  <si>
    <t>Rosa / Gris</t>
  </si>
  <si>
    <t>Amarillo / Rosa / Café / Morado</t>
  </si>
  <si>
    <t>Naranja / Azul</t>
  </si>
  <si>
    <t>Verde / Azul</t>
  </si>
  <si>
    <t>Verde C / Azul</t>
  </si>
  <si>
    <t>Naranja / Café / Rosa</t>
  </si>
  <si>
    <t>Verde / Rosa</t>
  </si>
  <si>
    <t>Verde C / Rosa</t>
  </si>
  <si>
    <t>Rosa / Azul</t>
  </si>
  <si>
    <t>Rosa / Agua</t>
  </si>
  <si>
    <t>Verde / Café</t>
  </si>
  <si>
    <t>Verde C / Café / Azul</t>
  </si>
  <si>
    <t>La estación El Rosario, es terminal de las líneas 6 (Rojo) y 7 (Naranja) del Metro de Ciudad de México. La estación recibe su nombre por estar ubicada en la colonia El Rosario, que a su vez fue nombrada así por haber sido construida en la exhacienda del mismo nombre.</t>
  </si>
  <si>
    <t xml:space="preserve">La estación Instituto del Petróleo, sirve de correspondencia entre las líneas 5 (Amarillo) y 6 (Rojo) del Metro de Ciudad de México. La estación debe su nombre por estar situada frente al Instituto Mexicano del Petróleo. </t>
  </si>
  <si>
    <t>La estación Deportivo 18 de marzo, sirve de correspondencia entre las líneas 3 (Verde) y 6 (Rojo) del Metro de la Ciudad de México. La estación debe su nombre al Deportivo 18 de Marzo que se ubica junto a la estación.</t>
  </si>
  <si>
    <t>La estación Consulado, sirve de correspondencia entre las líneas 4 (Agua) y 5 (Amarillo) del Metro de Ciudad de México. Debe su nombre a estar situada en la Av. Río Consulado, llamada así a su vez por haber sido construida en el cauce del antiguo Río del mismo nombre, que fue entubado y corre bajo la avenida.</t>
  </si>
  <si>
    <t>La estación Oceanía, sirve de correspondencia entre las líneas 5 (Amarillo) y B (Gris) del Metro de Ciudad de México. Debe su nombre a la avenida en la que está ubicada.</t>
  </si>
  <si>
    <t>La estación San Lázaro, sirve de correspondencia entre las líneas 1 (Rosa) y B (Gris) del Metro de Ciudad de México. Debe su nombre a que en ese lugar se encontraba la antigua terminal de ferrocarriles de San Lázaro.</t>
  </si>
  <si>
    <t>La estación Hidalgo, sirve de correspondencia a las Líneas 2 (Azul) y 3 (Verde) del Metro de Ciudad de México. Debe su nombre por estar situada en la Avenida Hidalgo.</t>
  </si>
  <si>
    <t>La estación Bellas Artes, sirve de correspondencia entre las líneas 2 (Azul) y 8 (Verde Claro) del Metro de la Ciudad de México. Debe su nombre por estar situada en las inmediaciones del Palacio de Bellas Artes.</t>
  </si>
  <si>
    <t>La estación Tacubaya, sirve de correspondencia entre 3 líneas del metro de la Ciudad de México: 1 (Rosa), 7 (Naranja) y 9 (Café), siendo terminal de esta última. Debe  su nombre a estar situada en la colonia Tacubaya (En náhuatl significa lugar donde se junta el agua).</t>
  </si>
  <si>
    <t>La estación Salto del Agua, sirve de correspondencia de las líneas 1 (Rosa) y 8 (Verde Claro) del Metro de la Ciudad de México. Desde la época de Tenochtitlán existía un acueducto que transportaba agua del cerro de Chapultepec hasta el lugar conocido como Salto del Agua, de donde viene su nombre.</t>
  </si>
  <si>
    <t>La estación Centro Médico, sirve de correspondencia de las líneas 3 (Verde) y 9 (Café) del Metro de la Ciudad de México. Debe su nombre al hospital general, Centro Médico Siglo XXI, situado sobre la estación del metro.</t>
  </si>
  <si>
    <t xml:space="preserve">La estación Ferrería, pertenece a la línea 6 (Rojo) del Metro de la Ciudad de México. Debe su nombre la antigua Hacienda Ferrería que se encontraba en la zona. </t>
  </si>
  <si>
    <t>La estación Camarones, pertenece a la línea 7 (Naranja) del Metro de la Ciudad de México. Debe su nombre a un antiguo poblado y camino real existentes en el año 1790 conocidos como Camarones</t>
  </si>
  <si>
    <t>La estación Hangares, pertenece a la línea 5 (Amarillo) del Metro de la Ciudad de México. Debe su nombre a los hangares del Aeropuerto cercanos a la estación, aunque muchos de estos fueron demolidos por la construcción de la Terminal 2 del Aeropuerto.</t>
  </si>
  <si>
    <t>La estación Eugenia, pertenece a la línea 3 (Verde) del Metro de la Ciudad de México. Debe su nombre a una antigua quinta, llamada Quinta Eugenia que se localizaba en las cercanías del actual Eje 5 Sur Eugenia.</t>
  </si>
  <si>
    <t>La estación Copilco, pertenece a la línea 3 (Verde) del Metro de la Ciudad de México. Debe su nombre a estar situado en el antiguo centro ceremonial mesoamericano.</t>
  </si>
  <si>
    <t>La estación Colegio Militar, pertenece a la línea 2 (Azul) del Metro de la Ciudad de México. Debe su nombre a que la salida sur se encuentra al costado del viejo Colegio Militar.</t>
  </si>
  <si>
    <t xml:space="preserve">La estación Normal, pertenece a la línea 2 (Azul) del Metro de la Ciudad de México. Debe su nombre a la  Benemérita Escuela Nacional de Maestros que se encuentra cerca de la estación. </t>
  </si>
  <si>
    <t>La estación Villa de Cortés, pertenece a la línea 2 (Azul) del Metro de la Ciudad de México. Debe su nombre a que en el lugar que ahora ocupa, el emperador azteca Moctezuma II recibió a los conquistadores españoles, encabezados por Hernán Cortés.</t>
  </si>
  <si>
    <t>La estación Nativitas, pertenece a la línea 2 (Azul) del Metro de la Ciudad de México. Debe su nombre al lago que existió ahí en otro tiempo, cuando sus habitantes de origen prehispánico cosechaban en chinampas. Posteriormente el nombre se refería a una pequeña villa construida en la periferia de la Ciudad de México a mediados del siglo XX.</t>
  </si>
  <si>
    <t>La estación General Anaya, pertenece a la línea 2 (Azul) del Metro de la Ciudad de México. Debe su nombre al general Pedro María Anaya, quien en 1847, libró la Batalla de Churubusco en el exconvento localizado a 2 cuadras de la estación. Actualmente el exconvento aloja al Museo Nacional de las Intervenciones.</t>
  </si>
  <si>
    <t>La estación Ermita, pertenece a la línea 2 (Azul) del Metro de la Ciudad de México. Debe su nombre a la ermita más antigua que fue la de San Cosme, construida en el año de 1526.</t>
  </si>
  <si>
    <t>La estación Lagunilla, pertenece a la línea B (Gris) del Metro de la Ciudad de México. Debe su nombre a la laguna o lagunilla formada en tiempos coloniales, cuando gran parte de la Ciudad de México se encontraba rodeada por el Lago de Texcoco.</t>
  </si>
  <si>
    <t>La estación Ricardo Flores Magón, pertenece a la línea B (Gris) del Metro de la Ciudad de México. Debe su nombre al periodista anarquista precursor de la Revolución mexicana.</t>
  </si>
  <si>
    <t>La estación Bosque de Aragón, pertenece a la línea B (Gris) del Metro de la Ciudad de México. Debe su nombre al Bosque de Aragón, ubicando una entrada de éste en la salida poniente de la estación.</t>
  </si>
  <si>
    <t>La estación Boulevard Puerto Aéreo (Anteriormente Aeropuerto), pertenece a la línea 1 (Rosa) del Metro de la Ciudad de México. Debe su nombre ya que al momento de su construcción (1969), era la más cercana al Aeropuerto Internacional de la Ciudad de México.</t>
  </si>
  <si>
    <t>La estación UAM I, pertenece a la línea 8 (Verde Claro) del Metro de la Ciudad de México. Debe su nombre a la Universidad Autónoma Metropolitana Unidad Iztapalapa.</t>
  </si>
  <si>
    <t>La estación Guelatao, pertenece a la línea A (Morado) del Metro de la Ciudad de México. Debe su nombre al pueblo donde nació Benito Juárez.</t>
  </si>
  <si>
    <t>FALTA INCLUIR TIEMPO DE TRANSBORDO</t>
  </si>
  <si>
    <t>FALTA INCLUIR ESTADO (LINEAS EN CONSTRUCCION O TRAMOS CERRADOS)</t>
  </si>
  <si>
    <t>LIGAR TAMBIEN CON UNA CLASE O INCLUIR UN CAMPO "TIPO" PARA SABER SI ES UNA REFERENCIA DE CALLE, DE CENTRO, MONUMENTO, O ALGUNA OTRA REFERENCIA (Curiosidades, direcciones, salidas, etc).</t>
  </si>
  <si>
    <t>FALTA INCLUIR TIPO DE ESTACION (Subterranea o Superficie)</t>
  </si>
  <si>
    <t>La estación Indios Verdes, es una de las terminales de la línea 3 (Verde) del Metro de la Ciudad de México. Debe su nombre a dos monumentos en memoria de los reyes guerreros mexicas: Itzcóatl y Ahuizotl</t>
  </si>
  <si>
    <t>La estación Pantitlán, es terminal y correspondencia de cuatro líneas del Metro de Ciudad de México: 1 (Rosa), 5 (Amarillo), 9 (Café) y A (Morado), siendo con esto la terminal mas grande del Sistema de Transporte. Debe su nombre a un vocablo náhuatl que significa: entre banderas.</t>
  </si>
  <si>
    <t>CORRESPONDENCIAS</t>
  </si>
  <si>
    <t>id_referencia</t>
  </si>
  <si>
    <t>avenida carlos hank gonzalez gonzález</t>
  </si>
  <si>
    <t>Expendio de Pan</t>
  </si>
  <si>
    <t>12     Expendio de Pan</t>
  </si>
  <si>
    <t>Bimbo</t>
  </si>
  <si>
    <t>Circulo K</t>
  </si>
  <si>
    <t>Tienda de abarrotes, agua, refrescos, botanas, snacks, galletas, recargas Telcel, etc. Saliendo del pasamanos</t>
  </si>
  <si>
    <t>Tienda de abarrotes, agua, refrescos, botanas, snacks, galletas, recargas Telcel, etc. Saliendo del pasamanos.</t>
  </si>
  <si>
    <t>Ahbalam</t>
  </si>
  <si>
    <t>Sanitarios públicos $4 pesos saliendo del pasamanos</t>
  </si>
  <si>
    <t>Mexipuerto</t>
  </si>
  <si>
    <t>Centro comercial que conecta la transferencia entre la estación del metro y la estación del Mexibus (Tiendas de ropa, servicios, hospital, zona de comida, cine) Saliendo del pasamos</t>
  </si>
  <si>
    <t>19      Mexipuerto</t>
  </si>
  <si>
    <t>16      Bimbo</t>
  </si>
  <si>
    <t>17      Circulo K</t>
  </si>
  <si>
    <t>18      Ahbalam</t>
  </si>
  <si>
    <t>11    Linea B     Gris</t>
  </si>
  <si>
    <t>Pan de barra, pan dulce, galletas, etc.</t>
  </si>
  <si>
    <t>agricola_oriental</t>
  </si>
  <si>
    <t>aquiles_serdan</t>
  </si>
  <si>
    <t>autobuses_del_norte</t>
  </si>
  <si>
    <t>barranca_del_muerto</t>
  </si>
  <si>
    <t>bellas_artes</t>
  </si>
  <si>
    <t>bosque_de_aragon</t>
  </si>
  <si>
    <t>boulevard_puerto_aereo</t>
  </si>
  <si>
    <t>canal_de_san_juan</t>
  </si>
  <si>
    <t>canal_del_norte</t>
  </si>
  <si>
    <t>centro_medico</t>
  </si>
  <si>
    <t>cerro_de_la_estrella</t>
  </si>
  <si>
    <t>ciudad_azteca</t>
  </si>
  <si>
    <t>ciudad_deportiva</t>
  </si>
  <si>
    <t>colegio_militar</t>
  </si>
  <si>
    <t>const_de_1917</t>
  </si>
  <si>
    <t>cuatro_caminos</t>
  </si>
  <si>
    <t>deportivo_18_de_marzo</t>
  </si>
  <si>
    <t>deportivo_oceania</t>
  </si>
  <si>
    <t>division_del_norte</t>
  </si>
  <si>
    <t>eduardo_molina</t>
  </si>
  <si>
    <t>el_rosario</t>
  </si>
  <si>
    <t>escuadron_201</t>
  </si>
  <si>
    <t>fray_servando</t>
  </si>
  <si>
    <t>general_anaya</t>
  </si>
  <si>
    <t>gomez_farias</t>
  </si>
  <si>
    <t>hospital_general</t>
  </si>
  <si>
    <t>indios_verdes</t>
  </si>
  <si>
    <t>instituto_del_petroleo</t>
  </si>
  <si>
    <t>isabel_la_catolica</t>
  </si>
  <si>
    <t>la_paz</t>
  </si>
  <si>
    <t>la_raza</t>
  </si>
  <si>
    <t>la_viga</t>
  </si>
  <si>
    <t>la_villa_basilica</t>
  </si>
  <si>
    <t>lazaro_cardenas</t>
  </si>
  <si>
    <t>los_reyes</t>
  </si>
  <si>
    <t>mactezuma</t>
  </si>
  <si>
    <t>martin_carrera</t>
  </si>
  <si>
    <t>miguel_angel_de_quevedo</t>
  </si>
  <si>
    <t>ninos_heroes</t>
  </si>
  <si>
    <t>norte_45</t>
  </si>
  <si>
    <t>penon_viejo</t>
  </si>
  <si>
    <t>pino_suarez</t>
  </si>
  <si>
    <t>plaza_aragon</t>
  </si>
  <si>
    <t>ricardo_flores_magon</t>
  </si>
  <si>
    <t>rio_de_los_remedios</t>
  </si>
  <si>
    <t>romero_rubio</t>
  </si>
  <si>
    <t>salto_del_agua</t>
  </si>
  <si>
    <t>san_antonio</t>
  </si>
  <si>
    <t>san_antonio_abad</t>
  </si>
  <si>
    <t>san_cosme</t>
  </si>
  <si>
    <t>san_joaquin</t>
  </si>
  <si>
    <t>san_juan_de_letran</t>
  </si>
  <si>
    <t>san_lazaro</t>
  </si>
  <si>
    <t>san_pedro_de_los_pinos</t>
  </si>
  <si>
    <t>santa_anita</t>
  </si>
  <si>
    <t>santa_marta</t>
  </si>
  <si>
    <t>terminal_aerea</t>
  </si>
  <si>
    <t>uam_i</t>
  </si>
  <si>
    <t>valle_gomez</t>
  </si>
  <si>
    <t>villa_de_aragon</t>
  </si>
  <si>
    <t>villa_de_cortes</t>
  </si>
  <si>
    <t>acatitla</t>
  </si>
  <si>
    <t>aculco</t>
  </si>
  <si>
    <t>allende</t>
  </si>
  <si>
    <t>apatlaco</t>
  </si>
  <si>
    <t>aragon</t>
  </si>
  <si>
    <t>atlalilco</t>
  </si>
  <si>
    <t>auditorio</t>
  </si>
  <si>
    <t>azcapotzalco</t>
  </si>
  <si>
    <t>balbuena</t>
  </si>
  <si>
    <t>balderas</t>
  </si>
  <si>
    <t>bondojito</t>
  </si>
  <si>
    <t>buenavista</t>
  </si>
  <si>
    <t>camarones</t>
  </si>
  <si>
    <t>candelaria</t>
  </si>
  <si>
    <t>chabacano</t>
  </si>
  <si>
    <t>chapultepec</t>
  </si>
  <si>
    <t>chilpancingo</t>
  </si>
  <si>
    <t>constituyentes</t>
  </si>
  <si>
    <t>consulado</t>
  </si>
  <si>
    <t>copilco</t>
  </si>
  <si>
    <t>coyoacan</t>
  </si>
  <si>
    <t>coyuya</t>
  </si>
  <si>
    <t>cuauhtemoc</t>
  </si>
  <si>
    <t>cuitlahuac</t>
  </si>
  <si>
    <t>doctores</t>
  </si>
  <si>
    <t>ecatepec</t>
  </si>
  <si>
    <t>ermita</t>
  </si>
  <si>
    <t>eugenia</t>
  </si>
  <si>
    <t>ferreria</t>
  </si>
  <si>
    <t>garibaldi</t>
  </si>
  <si>
    <t>guelatao</t>
  </si>
  <si>
    <t>guerrero</t>
  </si>
  <si>
    <t>hangares</t>
  </si>
  <si>
    <t>hidalgo</t>
  </si>
  <si>
    <t>impulsora</t>
  </si>
  <si>
    <t>insurgentes</t>
  </si>
  <si>
    <t>iztacalco</t>
  </si>
  <si>
    <t>iztapalapa</t>
  </si>
  <si>
    <t>jamaica</t>
  </si>
  <si>
    <t>juanacatlan</t>
  </si>
  <si>
    <t>juarez</t>
  </si>
  <si>
    <t>lagunilla</t>
  </si>
  <si>
    <t>lindavista</t>
  </si>
  <si>
    <t>merced</t>
  </si>
  <si>
    <t>misterios</t>
  </si>
  <si>
    <t>mixcoac</t>
  </si>
  <si>
    <t>mixiuhca</t>
  </si>
  <si>
    <t>morelos</t>
  </si>
  <si>
    <t>muzquiz</t>
  </si>
  <si>
    <t>nativitas</t>
  </si>
  <si>
    <t>nezahualcoyotl</t>
  </si>
  <si>
    <t>normal</t>
  </si>
  <si>
    <t>obrera</t>
  </si>
  <si>
    <t>observatorio</t>
  </si>
  <si>
    <t>oceania</t>
  </si>
  <si>
    <t>olimpica</t>
  </si>
  <si>
    <t>panteones</t>
  </si>
  <si>
    <t>pantitlan</t>
  </si>
  <si>
    <t>patriotismo</t>
  </si>
  <si>
    <t>polanco</t>
  </si>
  <si>
    <t>politecnico</t>
  </si>
  <si>
    <t>popotla</t>
  </si>
  <si>
    <t>portales</t>
  </si>
  <si>
    <t>potrero</t>
  </si>
  <si>
    <t>puebla</t>
  </si>
  <si>
    <t>refineria</t>
  </si>
  <si>
    <t>revolucion</t>
  </si>
  <si>
    <t>sevilla</t>
  </si>
  <si>
    <t>tacuba</t>
  </si>
  <si>
    <t>tacubaya</t>
  </si>
  <si>
    <t>talisman</t>
  </si>
  <si>
    <t>tasquena</t>
  </si>
  <si>
    <t>tepalcates</t>
  </si>
  <si>
    <t>tepito</t>
  </si>
  <si>
    <t>tezozomoc</t>
  </si>
  <si>
    <t>tlatelolco</t>
  </si>
  <si>
    <t>universidad</t>
  </si>
  <si>
    <t>vallejo</t>
  </si>
  <si>
    <t>velodromo</t>
  </si>
  <si>
    <t>viaducto</t>
  </si>
  <si>
    <t>xola</t>
  </si>
  <si>
    <t>zapata</t>
  </si>
  <si>
    <t>zaragoza</t>
  </si>
  <si>
    <t>zocalo</t>
  </si>
  <si>
    <t>Expendio de pan donde encontrarás todo tipo de productos.</t>
  </si>
  <si>
    <t>Es la mejor opción. Economicas y muy ricas.</t>
  </si>
  <si>
    <t>descripcion</t>
  </si>
  <si>
    <t>Servicio de internet público, para navegar por la red.</t>
  </si>
  <si>
    <t>Local de productos de origen natural, para la salud y por el gusto.</t>
  </si>
  <si>
    <t>Local de bebidas a base de café, para disfrutar mientras viaja.</t>
  </si>
  <si>
    <t>logo_com_pizzeria</t>
  </si>
  <si>
    <t>logo_com_tacos</t>
  </si>
  <si>
    <t>logo_com_banos</t>
  </si>
  <si>
    <t>logo_com_torteria</t>
  </si>
  <si>
    <t>logo_com_arte_y_cultura</t>
  </si>
  <si>
    <t>logo_com_cafeteria</t>
  </si>
  <si>
    <t>logo_com_cctv</t>
  </si>
  <si>
    <t>logo_com_celulares</t>
  </si>
  <si>
    <t>logo_com_centro_de_hidratacion</t>
  </si>
  <si>
    <t>logo_com_centro_de_revelado</t>
  </si>
  <si>
    <t>logo_com_cybercafe</t>
  </si>
  <si>
    <t>logo_com_expendio</t>
  </si>
  <si>
    <t>logo_com_fuente_de_sodas</t>
  </si>
  <si>
    <t>logo_com_helados</t>
  </si>
  <si>
    <t>logo_com_jefe_de_estacion</t>
  </si>
  <si>
    <t>logo_com_joyeria</t>
  </si>
  <si>
    <t>logo_com_libros</t>
  </si>
  <si>
    <t>logo_com_loteria</t>
  </si>
  <si>
    <t>logo_com_maquinas_de_videojuegos</t>
  </si>
  <si>
    <t>logo_com_metrobus</t>
  </si>
  <si>
    <t>logo_com_moda_y_accesorios</t>
  </si>
  <si>
    <t>logo_com_monumentos_importantes</t>
  </si>
  <si>
    <t>logo_com_naturistas</t>
  </si>
  <si>
    <t>logo_com_paradero</t>
  </si>
  <si>
    <t>logo_com_periodicos</t>
  </si>
  <si>
    <t>logo_com_plateria</t>
  </si>
  <si>
    <t>logo_com_ropa</t>
  </si>
  <si>
    <t>logo_com_seguridad_publica</t>
  </si>
  <si>
    <t>logo_com_servicios_medicos</t>
  </si>
  <si>
    <t>logo_com_servicios_medicos_dentista</t>
  </si>
  <si>
    <t>logo_com_servicios_medicos_oftalmologo</t>
  </si>
  <si>
    <t>logo_com_servicios_medicos_toma_de_presion</t>
  </si>
  <si>
    <t>logo_com_suburbano</t>
  </si>
  <si>
    <t>logo_com_tienda_de_discos</t>
  </si>
  <si>
    <t>logo_com_atm</t>
  </si>
  <si>
    <t>logo_com_comida_sin_clasificar</t>
  </si>
  <si>
    <t>logo_com_cosmeticos</t>
  </si>
  <si>
    <t>logo_com_farmacias</t>
  </si>
  <si>
    <t>logo_com_tiendas_de_descuento</t>
  </si>
  <si>
    <t>logo_com_tren_ligero</t>
  </si>
  <si>
    <t>Arte y Cultura</t>
  </si>
  <si>
    <t>Circuito Cerrado de TV</t>
  </si>
  <si>
    <t>Celulares</t>
  </si>
  <si>
    <t>Centro de Hidratación</t>
  </si>
  <si>
    <t>Centro de Revelado</t>
  </si>
  <si>
    <t>Cosméticos</t>
  </si>
  <si>
    <t>Farmacias</t>
  </si>
  <si>
    <t>Fuente de Sodas</t>
  </si>
  <si>
    <t>Helados</t>
  </si>
  <si>
    <t>Jefe de Estación</t>
  </si>
  <si>
    <t>Libros</t>
  </si>
  <si>
    <t>Metrobus</t>
  </si>
  <si>
    <t>Moda y Accesorios</t>
  </si>
  <si>
    <t>Monumentos Principales</t>
  </si>
  <si>
    <t>Videojuegos</t>
  </si>
  <si>
    <t>Paradero</t>
  </si>
  <si>
    <t>Periódicos</t>
  </si>
  <si>
    <t>Ropa</t>
  </si>
  <si>
    <t>Seguridad Pública</t>
  </si>
  <si>
    <t>Servicios Médicos</t>
  </si>
  <si>
    <t>Dentista</t>
  </si>
  <si>
    <t>Oftalmólogo</t>
  </si>
  <si>
    <t>Servicios Médicos (Toma de Presión)</t>
  </si>
  <si>
    <t>Suburbano</t>
  </si>
  <si>
    <t>Tienda de Discos</t>
  </si>
  <si>
    <t>Tiendas de Descuento</t>
  </si>
  <si>
    <t>Tortería</t>
  </si>
  <si>
    <t>Para realizar consulta de saldos o retiro de efectivo.</t>
  </si>
  <si>
    <t>Sistema de monitoreo para la seguridad del pasajero.</t>
  </si>
  <si>
    <t>Tienda de equipos / accesorios.</t>
  </si>
  <si>
    <t>Local de revelado de fotografías.</t>
  </si>
  <si>
    <t>Local de comida rápida.</t>
  </si>
  <si>
    <t>Venta de productos de belleza</t>
  </si>
  <si>
    <t>Venta de medicamentos y productos de salud.</t>
  </si>
  <si>
    <t>Local de venta de joyería y accesorios varios.</t>
  </si>
  <si>
    <t>Local de venta de lotería y sorteos varios.</t>
  </si>
  <si>
    <t>Estación de metrobus cercana.</t>
  </si>
  <si>
    <t>Monumento cercano.</t>
  </si>
  <si>
    <t>Local de venta de ropa.</t>
  </si>
  <si>
    <t>Servicio de seguridad.</t>
  </si>
  <si>
    <t>Servicio de Salud.</t>
  </si>
  <si>
    <t>Servicio de Salud preventiva.</t>
  </si>
  <si>
    <t>Local de comida rápida (Tortas).</t>
  </si>
  <si>
    <t>27     Pizzeria</t>
  </si>
  <si>
    <t>3     Baños Publicos</t>
  </si>
  <si>
    <t>14     Fuente de Sodas</t>
  </si>
  <si>
    <t>26     Periódicos</t>
  </si>
  <si>
    <t>18     Libros</t>
  </si>
  <si>
    <t>4     Cafeteria</t>
  </si>
  <si>
    <t>38     Tiendas de Descuento</t>
  </si>
  <si>
    <t>La estación Acatitla (entre las cañas), pertenece a la línea A (Morado) del Metro de la Ciudad de México. Debe su nombre a estar situada en la colonia Santa Marta Acatitla.</t>
  </si>
  <si>
    <t>La estación Aculco (Lugar donde tuerce el agua), pertenece a la línea 8 (Verde Claro) del Metro de la Ciudad de México. Debe su nombre a estar situada en la colonia Pueblo Aculco.</t>
  </si>
  <si>
    <t>La estación Agrícola Oriental, pertenece a la línea A (Morado) del Metro de la Ciudad de México. Debe su nombre a estar situada en la colonia Agrícola Oriental.</t>
  </si>
  <si>
    <t>La estación Allende, pertenece a la línea 2 (Azul) del Metro de la Ciudad de México. Debe su nombre a estar situada cerca de la calle de Allende.</t>
  </si>
  <si>
    <t>La estación Apatlaco (lugar de baños medicinales), pertenece a la línea 8 (Verde Claro) del Metro de la Ciudad de México. Debe su nombre a estar situada en la colonia Apatlaco.</t>
  </si>
  <si>
    <t>La estación Aquiles Serdán, pertenece a la línea 7 (Naranja) del Metro de la Ciudad de México. Debe su nombre a estar situada sobre la Avenida Aquiles Serdán.</t>
  </si>
  <si>
    <t xml:space="preserve">La estación Aragón, pertenece a la línea 5 (Amarillo) del Metro de la Ciudad de México. Debe su nombre a que fue la estación más cercana al Bosque de San Juan de Aragón antes de la construcción de la línea B. </t>
  </si>
  <si>
    <t>La estación Atlalilco, pertenece a la línea 8 (Verde Claro) del Metro de la Ciudad de México. Debe su nombre a estar situada en el Medio Pueblo de Atlalilco, del que forma parte el barrio de Santa Bárbara.</t>
  </si>
  <si>
    <t>La estación Auditorio, pertenece a la línea 7 (Naranja) del Metro de la Ciudad de México. Debe su nombre a estar situada a u costado del Auditorio Nacional.</t>
  </si>
  <si>
    <t>La estación Autobuses del Norte, pertenece a la línea 5 (Amarillo) del Metro de la Ciudad de México. Debe su nombre a estar situada enfrente de la central camionera del norte.</t>
  </si>
  <si>
    <t>La estación Azcapotzalco, pertenece a la línea 6 (Rojo) del Metro de la Ciudad de México. Debe su nombre a estar situada en la delegación Azcapotzalco y sobre la prolongación de Av. Azcapotzalco.</t>
  </si>
  <si>
    <t>La estación Balbuena, pertenece a la línea 1 (Rosa) del Metro de la Ciudad de México. Debe su nombre a estar situada en la colonia Jardín Balbuena.</t>
  </si>
  <si>
    <t>La estación Balderas, sirve de correspondencia de las líneas 1 (Rosa) y 3 (Verde) del Metro de la Ciudad de México. Debe su nombre a estar situada sobre la Avenida Balderas.</t>
  </si>
  <si>
    <t>La estación Barranca del Muerto, es una de las terminales de la línea 7 (Naranja) del Metro de la Ciudad de México. Debe su nombre a estar situada sobre la Avenida Barranca del Muerto.</t>
  </si>
  <si>
    <t>La estación Bondojito, pertenece a la línea 4 (Agua) del Metro de la Ciudad de México. Debe su nombre a estar situada en la Colonia Bondojito (La palabra bondo significa en lengua otomí: nopal pelón).</t>
  </si>
  <si>
    <t>La estación Buenavista, es una de las terminales de la línea B (Gris) del Metro de la Ciudad de México. Debe su nombre a estar situada sobre la colonia Buenavista.</t>
  </si>
  <si>
    <t>La estación Canal de San Juan, pertenece a la línea A (Morado) del Metro de la Ciudad de México. Debe su nombre a estar situada sobre la Avenida Canal de San Juan.</t>
  </si>
  <si>
    <t>La estación Canal del Norte, pertenece a la línea 4 (Agua) del Metro de la Ciudad de México. Debe su nombre a un antiguo canal que conectaba a la Villa con la Ciudad de Mexico en la época del virreinato.</t>
  </si>
  <si>
    <t>La estación Candelaria, sirve de correspondencia de las líneas 1 (Rosa) y 4 (Agua) del Metro de la Ciudad de México. Debe su nombre a estar situada en al Colonia la Candelaria de los Patos.</t>
  </si>
  <si>
    <t>La estación Cerro de la Estrella, pertenece a la línea 8 (Verde Claro) del Metro de la Ciudad de México. Debe su nombre a estar situada en las cercanías del Cerro de la Estrella.</t>
  </si>
  <si>
    <t>La estación Chabacano, sirve de correspondencia entre 3 Líneas del Metro de la Ciudad de México: 2 (Azul), 8 (Verde Claro) y 9 Café). Debe su nombre a estar situada sobre la Calzada Chabacano.</t>
  </si>
  <si>
    <t>La estación Chapultepec, pertenece a la línea 1 (Rosa) del Metro de la Ciudad de México. Debe su nombre a estar situada en las cercanías del Bosque de Chapultepec y el Castillo de Chapultepec.</t>
  </si>
  <si>
    <t>La estación Chilpancingo (Lugar de Avispas), pertenece a la línea 9 (Café) del Metro de la Ciudad de México. Debe su nombre a estar situada en las cercanías de la calle de Chilpancingo</t>
  </si>
  <si>
    <t>La estación Ciudad Azteca, es una de las terminales de la línea B (Gris) del Metro de la Ciudad de México. Debe su nombre a estar situada en la colonia Ciudad Azteca.</t>
  </si>
  <si>
    <t xml:space="preserve">La estación Ciudad Deportiva, pertenece a la línea 9 (Café) del Metro de la Ciudad de México. Debe su nombre a estar situada al lado de la Ciudad Deportiva Magdalena Mixiuhca. </t>
  </si>
  <si>
    <t>La estación Constitución de 1917, es una de las terminales de la línea 8 (Verde Claro) del Metro de la Ciudad de México. Debe su nombre a estar situada en la Colonia Constitución de 1917.</t>
  </si>
  <si>
    <t>La estación Constituyentes, pertenece a la línea 7 (Naranja) del Metro de la Ciudad de México. Debe su nombre a estar situada cerca de la Avenida Constituyentes.</t>
  </si>
  <si>
    <t>La estación Coyoacán, pertenece a la línea 3 (Verde) del Metro de la Ciudad de México. Debe su nombre a estar situada en las cercanías de la Avenida Coyoacán y por su cercanía con el Centro Histórico de Coyoacán (es En Náhuatl significa "Lugar de Coyotes").</t>
  </si>
  <si>
    <t>La estación Coyuya (en náhuatl significa donde se hacen los cascabeles), pertenece a la línea 8 (Verde Claro) del Metro de la Ciudad de México. Debe su nombre a estar situada cerca de la avenida Coyuya.</t>
  </si>
  <si>
    <t xml:space="preserve">La estación Cuatro Caminos, es una de las terminales de la línea 2 (Azul) del Metro de la Ciudad de México. El nombre de la estación viene del náhuatl Nauh Campa que significa: hacía los cuatro rumbos; ya que se cree que enfrente de la actual Escuela Militar de Transmisiones se encontraba el Nauh Campa: Por el norte hacia Azcapotzalco, por el sur a Chapultepec, por el oeste a Naucalpan y al este a Tenochtitlán. </t>
  </si>
  <si>
    <t>La estación Cuauhtémoc ("Águila que cae"), pertenece a la línea 1 (Rosa) del Metro de la Ciudad de México. Debe su nombre a estar situada en las cercanías de la Avenida Cuauhtémoc.</t>
  </si>
  <si>
    <t>La estación Cuitláhuac, pertenece a la línea 2 (Azul) del Metro de la Ciudad de México. Debe su nombre a estar situada sobre la Avenida Cuitláhuac.</t>
  </si>
  <si>
    <t>La estación Deportivo Oceanía, pertenece a la línea B (Gris) del Metro de la Ciudad de México. Debe su nombre a estar situada cerca del Deportivo Oceanía.</t>
  </si>
  <si>
    <t>La estación División del Norte, pertenece a la línea 3 (Verde) del Metro de la Ciudad de México. Debe su nombre a estar situada sobre la Avenida División del Norte.</t>
  </si>
  <si>
    <t>La estación Doctores, pertenece a la línea 8 (Verde Claro) del Metro de la Ciudad de México. Debe su nombre a estar situada en la Colonia Doctores.</t>
  </si>
  <si>
    <t>La estación Ecatepec ("Cerro del Viento"), pertenece a la línea B (Gris) del Metro de la Ciudad de México. Debe su nombre a estar situada en el municipio de Ecatepec.</t>
  </si>
  <si>
    <t>La estación Eduardo Molina, pertenece a la línea 5 (Amarillo) del Metro de la Ciudad de México. Debe su nombre a estar situada cerca de la avenida Eduardo Molina.</t>
  </si>
  <si>
    <t>La estación Escuadrón 201, pertenece a la línea 8 (Verde Claro) del Metro de la Ciudad de México. Debe su nombre a estar situada  en la colonia Escuadrón 201.</t>
  </si>
  <si>
    <t>La estación Etiopia / Plaza de la Transparencia, pertenece a la línea 3 (Verde) del Metro de la Ciudad de México. Debe su nombre  de una vieja glorieta que estaba situada en la intersección de las Avenidas Cuauhtémoc y Xola, la cual era llamada Glorieta de Etiopía y a su cercanía con el Instituto de Acceso a la Información Pública del Distrito Federal.</t>
  </si>
  <si>
    <t>La estación Fray Servando, pertenece a la línea 4 (Agua) del Metro de la Ciudad de México. Debe su nombre a estar situada sobre la Avenida Fray Servando Teresa de Mier.</t>
  </si>
  <si>
    <t>La estación Garibaldi, es terminal de la línea 8 (Verde Claro) y sirve de correspondencia con la línea B (Gris) del Metro de Ciudad de México. Debe su nombre a la conocida Plaza Garibaldi ubicada en sus cercanías.</t>
  </si>
  <si>
    <t>La estación Gomez Farias, pertenece a la línea 1 (Rosa) del Metro de la Ciudad de México. Debe su nombre a estar situada en la colonia Valentín Gómez Farías.</t>
  </si>
  <si>
    <t>La estación Guerrero, sirve de correspondencia entre las líneas 3 (Verde) y B (Gris) del Metro de Ciudad de México. Debe su nombre por estar situada en la colonia Guerrero y en la avenida del mismo nombre.</t>
  </si>
  <si>
    <t>La estación Hospital General, pertenece a la línea 3 (Verde) del Metro de la Ciudad de México. Debe su nombre a estar situada junto al Hospital General de México, el más antiguo hospital público de la Ciudad de México.</t>
  </si>
  <si>
    <t>La estación Impulsora, pertenece a la línea B (Gris) del Metro de la Ciudad de México. Debe su nombre a estar situada en la Colonia La Impulsora.</t>
  </si>
  <si>
    <t>La estación Insurgentes, pertenece a la línea 1 (Rosa) del Metro de la Ciudad de México. Debe su nombre a estar situada sobre la avenida de los Insurgentes.</t>
  </si>
  <si>
    <t>La estación Isabel la Católica, pertenece a la línea 1 (Rosa) del Metro de la Ciudad de México. Debe su nombre a estar situada sobre la Avenida Isabel la Católica.</t>
  </si>
  <si>
    <t>La estación Iztacalco, pertenece a la línea 8 (Verde Claro) del Metro de la Ciudad de México. Iztacalco significa En La casa de La Sal, del náhuatl iztatl=sal, calli=casa, y co=lugar.</t>
  </si>
  <si>
    <t>La estación Iztapalapa, pertenece a la línea 8 (Verde Claro) del Metro de la Ciudad de México. Debe su nombre a estar situada en las cercanías de las oficinas de la delegación Iztapalapa.</t>
  </si>
  <si>
    <t>La estación Jamaica, sirve de correspondencia de las líneas 4 (Agua) y 9 (Café) del Metro de la Ciudad de México. Debe su nombre a la cercanía con el famoso Mercado de Jamaica.</t>
  </si>
  <si>
    <t>La estación Juanacatlán, pertenece a la línea 1 (Rosa) del Metro de la Ciudad de México. El nombre de la estación proviene del vocablo Náhuatl Xonacatlán, que significa "lugar de cebollas"; y hace referencia a un municipio localizado al centro del estado de Jalisco.</t>
  </si>
  <si>
    <t>La estación Juarez, pertenece a la línea 3 (Verde) del Metro de la Ciudad de México. Debe su nombre a estar situada cerca de la Avenida Juárez.</t>
  </si>
  <si>
    <t>La estación La Paz, es una de las terminales de la línea A (Morado) del Metro de la Ciudad de México. Debe su nombre a estar situada en la cabecera del municipio de La Paz.</t>
  </si>
  <si>
    <t>La estación La Raza, sirve de correspondencia entre las líneas 3 (Verde) y 5 (Amarillo) del Metro de Ciudad de México. La estación debe su nombre a estar situada junto al Monumento a La Raza, conjunto arquitectónico en forma de pirámide prehispánica que conmemora a las culturas que surgieron en el país con anterioridad a la conquista española.</t>
  </si>
  <si>
    <t>La estación La Viga, pertenece a la línea 8 (Verde Claro) del Metro de la Ciudad de México. Debe su nombre a estar situada cerca de la Calzada de La Viga y por el nombre que recibe el centro de distribución de pescados y mariscos conocido como La Viga.</t>
  </si>
  <si>
    <t>La estación La Villa / Basílica, pertenece a la línea 6 (Rojo) del Metro de la Ciudad de México. Debe su nombre a la cercanía con la Basílica de Guadalupe, ubicada en la zona conocida como La Villa por su antiguo nombre de Villa de Guadalupe.</t>
  </si>
  <si>
    <t>La estación Lázaro Cárdenas, pertenece a la línea 9 (Café) del Metro de la Ciudad de México. Debe su nombre a estar situada sobre el Eje Central Lázaro Cárdenas.</t>
  </si>
  <si>
    <t>La estación Lindavista, pertenece a la línea 6 (Rojo) del Metro de la Ciudad de México. Debe su nombre a estar situada junto a la colonia Lindavista.</t>
  </si>
  <si>
    <t>La estación Los Reyes, pertenece a la línea A (Morado) del Metro de la Ciudad de México. Debe su nombre a estar situada en la Ciudad de Los Reyes Acaquilpan del municipio de La Paz.</t>
  </si>
  <si>
    <t>La estación Martín Carrera, es la estación terminal de las líneas 4 (Agua) y 6 (Rojo) del metro de la Ciudad de México. La estación recibe su nombre por estar ubicado en la colonia Martín Carrera.</t>
  </si>
  <si>
    <t>La estación Merced, pertenece a la línea 1 (Rosa) del Metro de la Ciudad de México. Debe su nombre a estar situada a un costado del famoso Mercado de La Merced.</t>
  </si>
  <si>
    <t>La estación Miguel Ángel de Quevedo, pertenece a la línea 3 (Verde) del Metro de la Ciudad de México. Debe su nombre a estar situada sobre la Avenida Miguel Ángel de Quevedo.</t>
  </si>
  <si>
    <t>La estación Misterios, pertenece a la línea 5 (Amarillo) del Metro de la Ciudad de México. Debe su nombre a estar situada cerca de la Calzada de los Misterios.</t>
  </si>
  <si>
    <t>La estación Mixcoac, pertenece a la línea 7 (Naranja) del Metro de la Ciudad de México. Debe su nombre a estar situada en la Colonia Mixcoac</t>
  </si>
  <si>
    <t>La estación Mixiuhca (lugar de parto), pertenece a la línea 9 (Café) del Metro de la Ciudad de México. Debe su nombre a estar situada en el pueblo de La Magdalena Mixiuhca.</t>
  </si>
  <si>
    <t>La estación Moctezuma, pertenece a la línea 1 (Rosa) del Metro de la Ciudad de México. Debe su nombre a estar situada por la Colonia Moctezuma 1ª sección.</t>
  </si>
  <si>
    <t>La estación Morelos, sirve de correspondencia entre las líneas 4 (Agua) y B (Gris) del Metro de Ciudad de México. Debe su nombre a estar situada en la Colonia Morelos.</t>
  </si>
  <si>
    <t>La estación Múzquiz, pertenece a la línea B (Gris) del Metro de la Ciudad de México. Debe su nombre a estar situada cerca de la Colonia Melchor Múzquiz.</t>
  </si>
  <si>
    <t>La estación Nezahualcóyotl, pertenece a la línea B (Gris) del Metro de la Ciudad de México. Debe su nombre a estar situada en el Municipio de Nezahualcóyotl.</t>
  </si>
  <si>
    <t>La estación Niños Héroes, pertenece a la línea 3 (Verde) del Metro de la Ciudad de México. Debe su nombre a estar situada sobre la Avenida Niños Héroes.</t>
  </si>
  <si>
    <t>La estación Norte 45, pertenece a la línea 6 (Rojo) del Metro de la Ciudad de México. Debe su nombre a estar situada cerca de la Avenida Norte 45.</t>
  </si>
  <si>
    <t>La estación Obrera, pertenece a la línea 8 (Verde Claro) del Metro de la Ciudad de México. Debe su nombre a estar situada en la Colonia Obrera.</t>
  </si>
  <si>
    <t>La estación Observatorio, es una de las terminales de la línea 1 (Rosa) del Metro de la Ciudad de México. Debe su nombre a que la Universidad Nacional Autónoma de México (UNAM) colocó un observatorio astronómico en la cima de una colina cerca de la estación del metro, en un palacio colonial que anteriormente pertenecía al Arzobispado de México.</t>
  </si>
  <si>
    <t>La estación Olímpica, pertenece a la línea B (Gris) del Metro de la Ciudad de México. Debe su nombre a estar situada el la Colonia Olímpica de Ecatepec.</t>
  </si>
  <si>
    <t>La estación Panteones, pertenece a la línea 2 (Azul) del Metro de la Ciudad de México. Debe su nombre a estar situada cerca de varios cementerios, entre ellos el Panteón Español y el Panteón Sanctorum.</t>
  </si>
  <si>
    <t>La estación Patriotismo, pertenece a la línea 9 (Café) del Metro de la Ciudad de México. Debe su nombre a estar situada sobre la Avenida Patriotismo.</t>
  </si>
  <si>
    <t>La estación Peñón Viejo, pertenece a la línea A (Morado) del Metro de la Ciudad de México. Debe su nombre a estar situada cerca del cerro "Peñón del Marqués".</t>
  </si>
  <si>
    <t>La estación Pino Suárez, sirve de correspondencia de las líneas 1 (Rosa) y 2 (Azul) del Metro de la Ciudad de México. Debe su nombre a estar situada sobre la Avenida Pino Suárez.</t>
  </si>
  <si>
    <t>La estación Plaza Aragón, pertenece a la línea B (Gris) del Metro de la Ciudad de México. Debe su nombre a la cercanía con el centro comercial del mismo Nombre.</t>
  </si>
  <si>
    <t>La estación Polanco, pertenece a la línea 7 (Naranja) del Metro de la Ciudad de México. Debe su nombre a estar situada en la colonia Polanco.</t>
  </si>
  <si>
    <t>La estación Politécnico, es una de las terminales de la línea 5 (Amarillo) del Metro de la Ciudad de México. Debe su nombre a estar situada a unas cuadras del Instituto Politécnico Nacional.</t>
  </si>
  <si>
    <t>La estación Popotla, pertenece a la línea 2 (Azul) del Metro de la Ciudad de México. Debe su nombre a un poblado ubicado sobre la calzada que llevaba de Tenochtitlán a Tlacopan.</t>
  </si>
  <si>
    <t>La estación Portales, pertenece a la línea 2 (Azul) del Metro de la Ciudad de México. Debe su nombre a estar situada en la Colonia Portales.</t>
  </si>
  <si>
    <t>La estación Potrero, pertenece a la línea 3 (Verde) del Metro de la Ciudad de México. Su nombre hace referencia a los potreros o establos que existieron en sus cercanías a principios del siglo XX.</t>
  </si>
  <si>
    <t>La estación Puebla, pertenece a la línea 9 (Café) del Metro de la Ciudad de México. Debe su nombre a estar situada en la colonia Puebla.</t>
  </si>
  <si>
    <t>La estación Refinería, pertenece a la línea 7 (Naranja) del Metro de la Ciudad de México. Debe su nombre a la refinería de Azcapotzalco de PEMEX que se encontraba en la Delegación Azcapotzalco, ahora convertida en el Parque Bicentenario.</t>
  </si>
  <si>
    <t>La estación Revolución, pertenece a la línea 2 (Azul) del Metro de la Ciudad de México. Debe su nombre a estar situada en las cercanías del Monumento de la Revolución Mexicana.</t>
  </si>
  <si>
    <t>La estación Río de los Remedios, pertenece a la línea B (Gris) del Metro de la Ciudad de México. Debe su nombre a estar situada sobre el Boulevard Río de los Remedios.</t>
  </si>
  <si>
    <t>La estación Romero Rubio, pertenece a la línea B (Gris) del Metro de la Ciudad de México. Debe su nombre a estar situada en la Colonia Romero Rubio.</t>
  </si>
  <si>
    <t>La estación San Antonio, pertenece a la línea 7 (Naranja) del Metro de la Ciudad de México. Debe su nombre a estar situada sobre la Avenida San Antonio.</t>
  </si>
  <si>
    <t>La estación San Antonio Abad, pertenece a la línea 2 (Azul) del Metro de la Ciudad de México. Debe su nombre a estar situada sobre la avenida San Antonio Abad.</t>
  </si>
  <si>
    <t>La estación San Cosme, pertenece a la línea 2 (Azul) del Metro de la Ciudad de México. Debe su nombre a estar situada sobre la Avenida Ribera de San Cosme.</t>
  </si>
  <si>
    <t>La estación San Joaquín, pertenece a la línea 7 (Naranja) del Metro de la Ciudad de México. Debe su nombre a estar situada cerca de la Av. Río San Joaquín.</t>
  </si>
  <si>
    <t xml:space="preserve">La estación San Juan de Letrán, pertenece a la línea 8 (Verde Claro) del Metro de la Ciudad de México. Debe su nombre a estar situada sobre el Eje Central Lázaro Cárdenas, antes conocido por Av. San Juan de Letrán </t>
  </si>
  <si>
    <t>La estación San Pedro de los Pinos, pertenece a la línea 7 (Naranja) del Metro de la Ciudad de México. Debe su nombre a estar situada en la colonia San Pedro de los Pinos.</t>
  </si>
  <si>
    <t>La estación Santa Anita, sirve de correspondencia de las líneas 4 (Agua), donde es terminal; y 8 (Verde Claro) del Metro de la Ciudad de México. Debe su nombre a estar situada en la colonia Santa Anita.</t>
  </si>
  <si>
    <t>La estación Santa Marta, pertenece a la línea A (Morado) del Metro de la Ciudad de México. Debe su nombre a estar situada cerca de la colonia Santa Marta Acatitla.</t>
  </si>
  <si>
    <t>La estación Sevilla, pertenece a la línea 1 (Rosa) del Metro de la Ciudad de México. Debe su nombre a estar situada cerca de la calle Sevilla.</t>
  </si>
  <si>
    <t>La estación Tacuba, sirve de correspondencia entre las líneas 2 (Azul) y 7 (Naranja) del Metro de la Ciudad de México. Debe su nombre a estar situada en el barrio de Tacuba (del náhuatl "Tlacopan", que significa "tierra florida") sobre la Calzada México-Tacuba.</t>
  </si>
  <si>
    <t>La estación Talismán, pertenece a la línea 4 (Agua) del Metro de la Ciudad de México. Debe su nombre a estar situada cerca de la Avenida Talismán.</t>
  </si>
  <si>
    <t>La estación Tasqueña (anteriormente Taxqueña), es una de las terminales de la línea 2 (Azul) del Metro de la Ciudad de México. Debe su nombre a estar situada sobre la Avenida Taxqueña.</t>
  </si>
  <si>
    <t>La estación Tepalcates (del náhuatl tepalcatl =  trasto de barro), pertenece a la línea A (Morado) del Metro de la Ciudad de México. Debe su nombre a estar situada en la Colonia Tepalcates.</t>
  </si>
  <si>
    <t>La estación Tepito, pertenece a la línea B (Gris) del Metro de la Ciudad de México. Debe su nombre a estar situada en el barrio de Tepito.</t>
  </si>
  <si>
    <t>La estación Terminal Aérea, pertenece a la línea 5 (Amarillo) del Metro de la Ciudad de México. Debe su nombre a estar situada junto a la terminal 1 del Aeropuerto Internacional de la Ciudad de México.</t>
  </si>
  <si>
    <t>La estación Tezozomoc pertenece a la línea 6 (Rojo) del Metro de la Ciudad de México. Debe su nombre a estar situada en la colonia Tezozomoc y este a su vez del rey Tezozomoc quien gobernó Azcapotzalco en la época prehispánica.</t>
  </si>
  <si>
    <t>La estación Tlatelolco, pertenece a la línea 3 (Verde) del Metro de la Ciudad de México. Debe su nombre a estar situada en la Unidad Habitacional Nonoalco-Tlatelolco.</t>
  </si>
  <si>
    <t>La estación Universidad, es una de las terminales de la línea 3 (Verde) del Metro de la Ciudad de México. Debe su nombre a estar situada en los alrededores de la Ciudad Universitaria, principal sede de la Universidad Nacional Autónoma de México.</t>
  </si>
  <si>
    <t>La estación Valle Gómez, pertenece a la línea 5 (Amarillo) del Metro de la Ciudad de México. Debe su nombre a estar situada en la Colonia Valle Gómez.</t>
  </si>
  <si>
    <t>La estación Vallejo, pertenece a la línea 6 (Rojo) del Metro de la Ciudad de México. Debe su nombre a estar situada en la colonia Industrial Vallejo y también por su cercanía a la avenida del mismo nombre.</t>
  </si>
  <si>
    <t>La estación Velódromo, pertenece a la línea 9 (Café) del Metro de la Ciudad de México. Debe su nombre a estar situada al lado del Velódromo Olímpico Agustín Melgar.</t>
  </si>
  <si>
    <t>La estación Viaducto, pertenece a la línea 2 (Azul) del Metro de la Ciudad de México. Debe su nombre a estar situada en la Colonia Viaducto Piedad.</t>
  </si>
  <si>
    <t>La estación Villa de Aragón, pertenece a la línea B (Gris) del Metro de la Ciudad de México. Debe su nombre a estar situada cerca de la colonia Villa de Aragón.</t>
  </si>
  <si>
    <t xml:space="preserve">La estación Viveros / Derechos Humanos, pertenece a la línea 3 (Verde) del Metro de la Ciudad de México. Debe su nombre a estar situada a la cercanía de los viveros de coyoacán y las oficinas de la Comisión de Derechos Humanos del Distrito Federal y de </t>
  </si>
  <si>
    <t>La estación Xola, pertenece a la línea 2 (Azul) del Metro de la Ciudad de México. Debe su nombre a estar situada sobre la Calle Xola.</t>
  </si>
  <si>
    <t>La estación Zapata, pertenece a la línea 3 (Verde) del Metro de la Ciudad de México. Debe su nombre a estar situada cerca de la avenida Emiliano Zapata.</t>
  </si>
  <si>
    <t>La estación Zaragoza, pertenece a la línea 1 (Rosa) del Metro de la Ciudad de México. Debe su nombre a estar situada sobre la Calzada Ignacio Zaragoza.</t>
  </si>
  <si>
    <t>La estación Zócalo, pertenece a la línea 2 (Azul) del Metro de la Ciudad de México. Debe su nombre a estar situada junto a la Plaza de la Constitución, más conocida por el Zócalo.</t>
  </si>
  <si>
    <t>Revisión 17/04/2012</t>
  </si>
  <si>
    <t>Tipo</t>
  </si>
  <si>
    <t>Clase</t>
  </si>
  <si>
    <t>Nombre / Marca</t>
  </si>
  <si>
    <t>Referencia</t>
  </si>
  <si>
    <t>Logo</t>
  </si>
  <si>
    <t>El ícono de la estación, es el icono utilizado por los aztecas para representar la ciudad de Tenochtitlán.</t>
  </si>
  <si>
    <t>Avenida Carlos Hank González. Col. Ciudad Azteca.</t>
  </si>
  <si>
    <t>19°32′5″N 99°1′39″W﻿ / ﻿19.534595, -99.0275</t>
  </si>
  <si>
    <t>Norte</t>
  </si>
  <si>
    <t>Esquina Norte de Avenida Central y Boulevard de los Remedios.</t>
  </si>
  <si>
    <t>NorOriente</t>
  </si>
  <si>
    <t>Esquina Nororiente de Avenida Central y Boulevard de los Remedios.</t>
  </si>
  <si>
    <t>Sur</t>
  </si>
  <si>
    <t>Esquina Sur de Avenida Central y Boulevard de los Remedios.</t>
  </si>
  <si>
    <t>SurOriente</t>
  </si>
  <si>
    <t>Esquina Suroriente de Avenida Central y Boulevard de los Remedios.</t>
  </si>
  <si>
    <t>Curiosidades</t>
  </si>
  <si>
    <t>Es uno de los 99 fraccionamientos que se encuentran en el municipio de Ecatepec y está conformado por tres secciones, ubicado al noreste, casi al límite con el municipio de Atenco. En esta colonia se encuentra cerca el depósito de evaporación solar "El Caracol", principal fuente de agua en el municipio; es uno de los últimos depósitos de agua del lago de Texcoco.</t>
  </si>
  <si>
    <t>Servicios</t>
  </si>
  <si>
    <t>Centro Comercial</t>
  </si>
  <si>
    <r>
      <t>Terminal Multimodal Azteca Bicentenario</t>
    </r>
    <r>
      <rPr>
        <sz val="11"/>
        <color theme="1"/>
        <rFont val="Calibri"/>
        <family val="2"/>
        <scheme val="minor"/>
      </rPr>
      <t>,</t>
    </r>
  </si>
  <si>
    <t>Marca Bimbo</t>
  </si>
  <si>
    <t>Marca Círculo K</t>
  </si>
  <si>
    <t>Marca Ahbalam</t>
  </si>
  <si>
    <t>Base de taxis</t>
  </si>
  <si>
    <t>Base de taxi seguro</t>
  </si>
  <si>
    <t>Estación vigilada</t>
  </si>
  <si>
    <t>Circuito cerrado de cámaras</t>
  </si>
  <si>
    <t>MexiBus</t>
  </si>
  <si>
    <t>Sistema de autobús de tránsito rápido (BRT, por sus siglas en inglés), que conectará a Ciudad Azteca con el vecino municipio de Tecámac (Ojo del Agua).</t>
  </si>
  <si>
    <t>Paradero de autobuses</t>
  </si>
  <si>
    <t>Paradero de autobuses a las colonias cercanas (ver mapa de barrio)</t>
  </si>
  <si>
    <t>El ícono de la estación es un puesto de tianguis en referencia a la plaza del mismo nombre.</t>
  </si>
  <si>
    <t>19°31′42″N 99°1′48″W﻿ / ﻿19.528447, -99.030118</t>
  </si>
  <si>
    <t>Avenida Central e Ignacio Zaragoza Colonia Ignacio Allende.</t>
  </si>
  <si>
    <t>Avenida Central y Avenida Cegor Colonia Valle de Santiago.</t>
  </si>
  <si>
    <t>Tiendas de ropa, servicios, zona de comida, sanitarios, supermercados, cine etc.</t>
  </si>
  <si>
    <t>Clínica 92 (IMSS)</t>
  </si>
  <si>
    <t>Clínica 92 del Instituto Mexicano del Seguro Social.</t>
  </si>
  <si>
    <t>El ícono de la estación representa losaros que simbolizan al movimiento olímpico internacional.</t>
  </si>
  <si>
    <t>Avenida Carlos Hank González y Valle de Santiago. Col. Olímpica. Ecatepec, Estado de México.</t>
  </si>
  <si>
    <t>19°31′17″N 99°2′0″W﻿ / ﻿19.521328, -99.033422</t>
  </si>
  <si>
    <t>Avenida Central y Valle de Santiago Colonia Jardines de Aragón.</t>
  </si>
  <si>
    <t>Center Plaza</t>
  </si>
  <si>
    <t>Tiendas de ropa, servicios, zona de comida, sanitarios, supermercado, electrónica, cine, etc.</t>
  </si>
  <si>
    <t>Avenida Carlos Hank González. Col. U. H. La Alborada y Valle de Anáhuac sección A. Ecatepec, Estado de México.</t>
  </si>
  <si>
    <t>19°30′55″N 99°2′10″W﻿ / ﻿19.515301, -99.035997</t>
  </si>
  <si>
    <t>Avenida Central y Calle Ciudad Azteca Colonia U. H. La Alborada.</t>
  </si>
  <si>
    <t>Avenida Central y Calle Sor Juana Inés de la Cruz Colonia Valle de Anáhuac sección A.</t>
  </si>
  <si>
    <t>El nombre original de la estación fue Tecnológico. El ícono que distinguía a la estación era el emblema del Tecnológico de Estudios Superiores de Ecatepec cuyas instalaciones se encuentran en las proximidades. El 23 de julio de 2008, Francisco Bojórquez Hernández, director del Sistema de Transporte Colectivo-Metro, y José Luis Gutiérrez Cureño, presidente municipal de Ecatepec, establecieron mediante un acuerdo una serie de acciones para mejorar la seguridad, calidad y eficacia del servicio. Como parte del acuerdo se estableció cambiar el nombre e iconografía de la estación a partir del 25 de agosto de 2008.</t>
  </si>
  <si>
    <t>Tiendas de ropa, servicios, hospital, zona de comida, sanitarios, supermercado, electrónica, cine, etc.</t>
  </si>
  <si>
    <t>Universidad Pedagógica Nacional de México</t>
  </si>
  <si>
    <t>Centro de estudios superiores en Pedagogía.</t>
  </si>
  <si>
    <t>Tecnológico de Ecatepec</t>
  </si>
  <si>
    <t>Centro de estudios superiores</t>
  </si>
  <si>
    <t>El ícono de la estación es la silueta del presidente Melchor Múzquiz.</t>
  </si>
  <si>
    <t>Avenida Carlos Hank González y Valle del Guadiana. Col. Valle de Aragón 3a. Sección. Ecatepec, Estado de México.</t>
  </si>
  <si>
    <t>19°30′6″N 99°2′31″W﻿ / ﻿19.501629, -99.042048</t>
  </si>
  <si>
    <t>Avenida Central y Valle del Guadiana.</t>
  </si>
  <si>
    <t>Nororiente</t>
  </si>
  <si>
    <t>Avenida Central y Valle del Henares.</t>
  </si>
  <si>
    <t>Suroriente</t>
  </si>
  <si>
    <t>El ícono de la estación es un velero con una corona.</t>
  </si>
  <si>
    <t>Avenida Carlos Hank González. Col. Valle de Aragón 2a. Sección. Nezahualcóyotl, Estado de México.</t>
  </si>
  <si>
    <t>19°29′27″N 99°2′48″W﻿ / ﻿19.490908, -99.046597</t>
  </si>
  <si>
    <t>Avenida Central y Anillo Periférico.</t>
  </si>
  <si>
    <t>Avenida Central y Boulevard Río de los Remedios.</t>
  </si>
  <si>
    <t>Durante la temporada de lluvias, y debido a su cercanía a un canal de aguas negras, cuando hay lluvias fuertes el agua rebasa la barra guía electrificada, por lo que el servicio tiene que ser suspendido.</t>
  </si>
  <si>
    <t xml:space="preserve"> Su ícono es una carreta agrícola y un casco de hacienda al fondo.</t>
  </si>
  <si>
    <t>Avenida Carlos Hank González y Avenida Cinco. Col. La Impulsora. Nezahualcóyotl, Estado de México.</t>
  </si>
  <si>
    <t>19°29′9″N 99°2′56″W﻿ / ﻿19.485851, -99.048915</t>
  </si>
  <si>
    <t>Avenida Central y Hacienda de Pasteje.</t>
  </si>
  <si>
    <t>Avenida Central y Hacienda de la Noria.</t>
  </si>
  <si>
    <t>Avenida Central y Avenida Cinco Colonia La Impulsora.</t>
  </si>
  <si>
    <t>Avenida Central y Avenida Cinco Colonia Campestre Guadalupana.</t>
  </si>
  <si>
    <t>Delegación</t>
  </si>
  <si>
    <t>Unidad Administrativa Zona Norte (La Bola)</t>
  </si>
  <si>
    <t>Su ícono es el glifo de dicho municipio.</t>
  </si>
  <si>
    <t>Avenida Carlos Hank González y Boulevard Bosques de los Continentes. Col. Vergel de Guadalupe. Nezahualcóyotl, Estado de México.</t>
  </si>
  <si>
    <t>19°28′23″N 99°3′16″W﻿ / ﻿19.473066, -99.054537</t>
  </si>
  <si>
    <t>Avenida Central y Boulevard de los Continentes.</t>
  </si>
  <si>
    <t>Sororiente</t>
  </si>
  <si>
    <t>Avenida Central y Avenida Jorge Jiménez Cantú.</t>
  </si>
  <si>
    <t>Hasta el año 2002, el nombre de la estación fue Continentes y tuvo como ícono un mapamundi de tipo Mollweide; a partir de ese año, la estación es conocida con su nombre y logotipo actuales.</t>
  </si>
  <si>
    <t>Multiplaza Sn. Juan</t>
  </si>
  <si>
    <t>El icono de la estación es de un conjunto de casas haciendo referencia a la colonia o a una villa.</t>
  </si>
  <si>
    <t>19°27′42″N 99°3′42″W﻿ / ﻿19.461656, -99.061704</t>
  </si>
  <si>
    <t>Oriente</t>
  </si>
  <si>
    <t>Avenida 608, casi esquina Avenida 412.</t>
  </si>
  <si>
    <t>Poniente</t>
  </si>
  <si>
    <t>Avenida 412 y 6ª sección de San Juan de Aragón.</t>
  </si>
  <si>
    <t>Cetis No. 56</t>
  </si>
  <si>
    <t>Centro de estudios de educación Media Superior</t>
  </si>
  <si>
    <t>Inst. Tecnológico Gustavo A. Madero</t>
  </si>
  <si>
    <t>19°27′29″N 99°4′9″W﻿ / ﻿19.458115, -99.069192</t>
  </si>
  <si>
    <t>Avenida 608 esquina Avenida 613.</t>
  </si>
  <si>
    <t>Avenida 608 junto Bosque de Aragón.</t>
  </si>
  <si>
    <t>Parque, deportivo y zoológico</t>
  </si>
  <si>
    <t>El ícono de la estación es un koala y un balón, que representan el deportivo y el continente en donde habita el koala.</t>
  </si>
  <si>
    <t>19°27′4″N 99°4′45″W﻿ / ﻿19.451034, -99.07917</t>
  </si>
  <si>
    <t>Avenida 608, casi esquina con Avenida 602.</t>
  </si>
  <si>
    <t>Avenida 608 entre Avenida 565 y José Loreto Fabela.</t>
  </si>
  <si>
    <t>Centro deportivo</t>
  </si>
  <si>
    <t>El ícono de la estación tiene un canguro, que alude al nombre de la estación (Oceanía), pues es en aquel continente donde existen estos animales.</t>
  </si>
  <si>
    <t>19°26′44″N 99°5′14″W﻿ / ﻿19.445672, -99.087238</t>
  </si>
  <si>
    <t>Por línea 5 al Norte</t>
  </si>
  <si>
    <t>Norte 174, esquina Río Blanco.</t>
  </si>
  <si>
    <t>Por línea 5 al Suroriente</t>
  </si>
  <si>
    <t>Avenida Río Consulado.</t>
  </si>
  <si>
    <t>Por línea B al Norte</t>
  </si>
  <si>
    <t>Avenida Río Consulado y Norte 170.</t>
  </si>
  <si>
    <t>Por línea B al Sur</t>
  </si>
  <si>
    <t>Avenida Oceanía y Dinares, Colonia Aquiles Serdán.</t>
  </si>
  <si>
    <t>Tacos de Canasta (Marca Don Lucho)</t>
  </si>
  <si>
    <t>Tacos de frijol, chicharrón prensado, pollo en Mole Verde, papa, cochinita pibil y chicharrón en salsa verde.</t>
  </si>
  <si>
    <t>Periódicos (Reforma/Cancha)</t>
  </si>
  <si>
    <t>Mini puesto de periódicos</t>
  </si>
  <si>
    <t>Teléfonos Públicos</t>
  </si>
  <si>
    <t>Puesto de revistas (Martha KIL02)</t>
  </si>
  <si>
    <t>Venta exclusiva de revistas de circulación nacional, no periódicos</t>
  </si>
  <si>
    <t>Telefonía celular (Marca Unefon)</t>
  </si>
  <si>
    <t>Venta de accesorios para telefonía celular y recargas Unefon y Telcel</t>
  </si>
  <si>
    <t>19°26′12″N 99°6′13″W﻿ / ﻿19.436567, -99.103675</t>
  </si>
  <si>
    <t>Avenida del Peñón y Oriente 158, Colonia Moctezuma.</t>
  </si>
  <si>
    <t>Calle Marruecos Colonia Romero Rubio.</t>
  </si>
  <si>
    <t>Jefe de estación</t>
  </si>
  <si>
    <t>El ícono de la estación es el busto de Ricardo Flores Magón, periodista anarquista precursor de la Revolución mexicana.</t>
  </si>
  <si>
    <t>Norponiente</t>
  </si>
  <si>
    <t>Avenida Oceanía, Colonia Moctezuma, 2ª sección.</t>
  </si>
  <si>
    <t>Avenida Oceanía y Norte 24, Colonia Moctezuma 2a. sección.</t>
  </si>
  <si>
    <t>Surponiente</t>
  </si>
  <si>
    <t>Avenida Oceanía y General Francisco Murgía Colonia Revolución.</t>
  </si>
  <si>
    <t>Avenida Oceanía y General Bonifacio Salinas Colonia Revolución.</t>
  </si>
  <si>
    <t>El ícono de la estación, representa a una locomotora de vapor ya que en ese lugar se encontraba la antigua terminal de ferrocarriles de San Lázaro.</t>
  </si>
  <si>
    <t>19°25′49″N 99°6′53″W﻿ / ﻿19.430213, -99.114833</t>
  </si>
  <si>
    <t>Por línea 1 al Surponiente</t>
  </si>
  <si>
    <t>Avenida Zaragoza y Eje 3 Poniente Colonia 10 de Mayo</t>
  </si>
  <si>
    <t>Por línea 1 al Suroriente</t>
  </si>
  <si>
    <t>Salida a Terminal de la Tapo Colonia 10 de Mayo</t>
  </si>
  <si>
    <t>Avenida Ing. Eduardo Molina, Colonia 7 de julio.</t>
  </si>
  <si>
    <t>Periódicos (Reforma)</t>
  </si>
  <si>
    <t>Telefonía celular (Marca Telcel)</t>
  </si>
  <si>
    <t>Venta de accesorios para telefonía celular y recargas Telcel</t>
  </si>
  <si>
    <t>Cybercentro</t>
  </si>
  <si>
    <t>Centro de computación e internet gratuito para los usuarios del Sistema de Transporte Colectivo Metro ofrecido por el Gobierno del DF donde se puede bajar música para el celular y otros dispositivos</t>
  </si>
  <si>
    <t>Metroantojos San Lázaro</t>
  </si>
  <si>
    <t>Tienda de abarrotes, agua, refrescos, botanas, snacks, galletas, etc.</t>
  </si>
  <si>
    <t>Terminal de autobuses foráneos Tapo</t>
  </si>
  <si>
    <t>Terminal de autobuses foráneos</t>
  </si>
  <si>
    <t>Corredor Cultural</t>
  </si>
  <si>
    <t>Exposiciones de arte y cultura</t>
  </si>
  <si>
    <t>Sanitarios Públicos</t>
  </si>
  <si>
    <t>Sanitarios públicos al exterior de la estación</t>
  </si>
  <si>
    <t>El ícono de la estación es la silueta de Jose Maria Morelos y Pavón, héroe de la Independencia de México. Esta estación es la única que tiene dos versiones de su emblema, el propio de la estación y otra versión que muestra el rostro de Morelos en 3/4 de perfil, ambos emblemas están inspirados en el rostro de Morelos que aparecía en las antiguas monedas de 1 pesos de años 80's. La segunda versión se encuentra únicamente en los alrededores de la estación.</t>
  </si>
  <si>
    <t>19°26′20″N 99°7′6″W﻿ / ﻿19.438974, -99.118266</t>
  </si>
  <si>
    <t>Por línea 4 al Oriente</t>
  </si>
  <si>
    <t>Avenida Congreso de la Unión, esquina Herreros.</t>
  </si>
  <si>
    <t>Por línea 4 al Poniente</t>
  </si>
  <si>
    <t>Eje 1 Norte y Hojalatería.</t>
  </si>
  <si>
    <t>Por línea B al Suroriente</t>
  </si>
  <si>
    <t>Nacional y Eje 1 Norte.</t>
  </si>
  <si>
    <t>19°26′33″N 99°7′24″W﻿ / ﻿19.442495, -99.12333</t>
  </si>
  <si>
    <t>Eje 1 Norte y Eje 1 Oriente.</t>
  </si>
  <si>
    <t>Eje 1 Norte y Manuel Doblado.</t>
  </si>
  <si>
    <t>Su símbolo es un pato o ganso, ya que en el lago anidaban estos tipos de aves antes de la conquista.</t>
  </si>
  <si>
    <t>19°26′36″N 99°7′53″W﻿ / ﻿19.443386, -99.131334</t>
  </si>
  <si>
    <t>Eje 1 Norte, casi esquina con Jesús Carranza Colonia Morelos.</t>
  </si>
  <si>
    <t>Eje 1 Norte casi esquina con República de Argentina Colonia Centro.</t>
  </si>
  <si>
    <t>Eje 1 Norte, casi esquina con República de Brasil Colonia Centro.</t>
  </si>
  <si>
    <t>El ícono de la estación está formado por una guitarra y un sarape, que rememora al Mariachi, por lo que es famosa la  Plaza Garibaldi.</t>
  </si>
  <si>
    <t>19°26′40″N 99°8′23″W﻿ / ﻿19.444458, -99.139734</t>
  </si>
  <si>
    <t>Por línea 8 al Nororiente</t>
  </si>
  <si>
    <t>Avenida Reforma y Eje 1 Norte Rayón Colonia Guerrero.</t>
  </si>
  <si>
    <t>Por línea 8 al Suroriente</t>
  </si>
  <si>
    <t>Avenida Reforma y Rayón Colonia Guerrero.</t>
  </si>
  <si>
    <t>Por línea 8 al Norponiente</t>
  </si>
  <si>
    <t>Avenida Reforma y Mosqueta Colonia Centro.</t>
  </si>
  <si>
    <t>Eje Central y Reforma Colonia Morelos.</t>
  </si>
  <si>
    <t>Eje 1 Norte Colonia Morelos.</t>
  </si>
  <si>
    <t>Eje 1 Norte, calle Allende Sur Colonia Morelos.</t>
  </si>
  <si>
    <t>Tienda de descuento (Todo Barato)</t>
  </si>
  <si>
    <t>Artículos con un precio de $3.50 pesos</t>
  </si>
  <si>
    <t>Venta de películas originales</t>
  </si>
  <si>
    <t>Películas de catálogo formato DVD</t>
  </si>
  <si>
    <t>Puesto de revistas (Martha KU-01)</t>
  </si>
  <si>
    <t>Centro de monitoreo</t>
  </si>
  <si>
    <t>El ícono de la estación es el busto del Gral. Vicente Guerrero, héroe de la Independencia de México y segundo Presidente de la República Mexicana.</t>
  </si>
  <si>
    <t>19°26′43″N 99°8′43″W﻿ / ﻿19.445146, -99.145389</t>
  </si>
  <si>
    <t>Por línea 3 al Oriente</t>
  </si>
  <si>
    <t>Zarco y Eje 1 Norte.</t>
  </si>
  <si>
    <t>Por línea 3 al Poniente</t>
  </si>
  <si>
    <t>Zarzo y Eje 1 Norte.</t>
  </si>
  <si>
    <t>Por línea B al Nororiente</t>
  </si>
  <si>
    <t>Eje 1 Norte, casi esquina con Héroes.</t>
  </si>
  <si>
    <t>Por línea B al Norponiente</t>
  </si>
  <si>
    <t>Eje 1 Norte, casi esquina con Guerrero.</t>
  </si>
  <si>
    <t>Por línea B al Surponiente</t>
  </si>
  <si>
    <t>Productos de Soya</t>
  </si>
  <si>
    <t>Venta de productos naturistas</t>
  </si>
  <si>
    <t>Mini Súper (Guerrero)</t>
  </si>
  <si>
    <t>Pizza (Marca Dominos)</t>
  </si>
  <si>
    <t>Mini Puesto de Pizzas (Sólo rebanadas)</t>
  </si>
  <si>
    <t>El ícono de la estación, es la parte de en frente de una locomotora que hace alusión a la Estación de Ferrocarriles Buenavista que se encuentra en esa zona y que actualmente es la terminal del Tren Suburbano.</t>
  </si>
  <si>
    <t>19°26′48″N 99°9′12″W﻿ / ﻿19.446603, -99.153199</t>
  </si>
  <si>
    <t>Eje 1 Norte, Mosqueta e Insurgentes Colonia Buenavista.</t>
  </si>
  <si>
    <t>Eje 1 Norte, Mosqueta y Jesús García Colonia Buenavista.</t>
  </si>
  <si>
    <t>Teléfonos Públicos (Marca Logitel)</t>
  </si>
  <si>
    <t>Tren Suburbano</t>
  </si>
  <si>
    <t>Estación conectada con la línea del tren Suburbano Buenavista - Lechería</t>
  </si>
  <si>
    <t>Centro Comercial Buenavista</t>
  </si>
  <si>
    <t>Centro Comercial con todos los servicios y tiendas y centro de exposiciones</t>
  </si>
  <si>
    <t>Sanitarios públicos $5 pesos en la conexión con tren Suburbano</t>
  </si>
  <si>
    <t>id_sistema</t>
  </si>
  <si>
    <t>INTEGER</t>
  </si>
  <si>
    <t>NVARCHAR(50)</t>
  </si>
  <si>
    <t>NVARCHAR(100)</t>
  </si>
  <si>
    <t>BOOLEAN</t>
  </si>
  <si>
    <t xml:space="preserve">feulmod </t>
  </si>
  <si>
    <t>NVARCHAR(10)</t>
  </si>
  <si>
    <t>INSERT INTO tb_sistemas VALUES (1,'Metro','Sistema de Transporte Metro','logometro','mapametro',1,'02/05/2012');</t>
  </si>
  <si>
    <t xml:space="preserve">id_grupo </t>
  </si>
  <si>
    <t xml:space="preserve">id_nodo_ta </t>
  </si>
  <si>
    <t>INTEGER_SEL</t>
  </si>
  <si>
    <t xml:space="preserve">nombre </t>
  </si>
  <si>
    <t xml:space="preserve">descripcion </t>
  </si>
  <si>
    <t xml:space="preserve">imagen </t>
  </si>
  <si>
    <t>NAVARCHAR(50)</t>
  </si>
  <si>
    <t>INSERT INTO tb_grupos VALUES (1,103,12,'1','Rosa','linea1icono',1);</t>
  </si>
  <si>
    <t>INSERT INTO tb_grupos VALUES (2,69,86,'2','Azul','linea2icono',1);</t>
  </si>
  <si>
    <t>INSERT INTO tb_grupos VALUES (3,51,64,'3','Verde','linea3icono',1);</t>
  </si>
  <si>
    <t>INSERT INTO tb_grupos VALUES (4,4,24,'4','Agua','linea4icono',1);</t>
  </si>
  <si>
    <t>INSERT INTO tb_grupos VALUES (5,43,12,'5','Amarillo','linea5icono',1);</t>
  </si>
  <si>
    <t>INSERT INTO tb_grupos VALUES (6,1,4,'6','Rojo','linea6icono',1);</t>
  </si>
  <si>
    <t>INSERT INTO tb_grupos VALUES (7,1,42,'7','Naranja','linea7icono',1);</t>
  </si>
  <si>
    <t>INSERT INTO tb_grupos VALUES (8,9,136,'8','Verde C','linea8icono',1);</t>
  </si>
  <si>
    <t>INSERT INTO tb_grupos VALUES (9,16,12,'9','Café','linea9icono',1);</t>
  </si>
  <si>
    <t>INSERT INTO tb_grupos VALUES (10,12,145,'A','Morado','lineaaicono',1);</t>
  </si>
  <si>
    <t>INSERT INTO tb_grupos VALUES (11,87,102,'B','Gris','lineabicono',1);</t>
  </si>
  <si>
    <t xml:space="preserve"> </t>
  </si>
  <si>
    <t>nvarchar(100)</t>
  </si>
  <si>
    <t>interseccion</t>
  </si>
  <si>
    <t>INSERT INTO tb_nodos VALUES (142,1,'Acatitla','La estación Acatitla (entre las cañas), pertenece a la línea A (Morado) del Metro de la Ciudad de México. Debe su nombre a estar situada en la colonia Santa Marta Acatitla.',2,1,471,446,'acatitla','acatitla',0,1);</t>
  </si>
  <si>
    <t>INSERT INTO tb_nodos VALUES (130,1,'Aculco','La estación Aculco (Lugar donde tuerce el agua), pertenece a la línea 8 (Verde Claro) del Metro de la Ciudad de México. Debe su nombre a estar situada en la colonia Pueblo Aculco.',4,1,375,458,'aculco','aculco',0,1);</t>
  </si>
  <si>
    <t>INSERT INTO tb_nodos VALUES (137,1,'Agrícola Oriental','La estación Agrícola Oriental, pertenece a la línea A (Morado) del Metro de la Ciudad de México. Debe su nombre a estar situada en la colonia Agrícola Oriental.',2,1,471,353,'agricolaoriental','agricola_oriental',0,1);</t>
  </si>
  <si>
    <t>INSERT INTO tb_nodos VALUES (77,1,'Allende','La estación Allende, pertenece a la línea 2 (Azul) del Metro de la Ciudad de México. Debe su nombre a estar situada cerca de la calle de Allende.',4,1,273,220,'allende','allende',0,1);</t>
  </si>
  <si>
    <t>INSERT INTO tb_nodos VALUES (129,1,'Apatlaco','La estación Apatlaco (lugar de baños medicinales), pertenece a la línea 8 (Verde Claro) del Metro de la Ciudad de México. Debe su nombre a estar situada en la colonia Apatlaco.',4,1,375,439,'apatlaco','apatlaco',0,1);</t>
  </si>
  <si>
    <t>INSERT INTO tb_nodos VALUES (32,1,'Aquiles Serdán','La estación Aquiles Serdán, pertenece a la línea 7 (Naranja) del Metro de la Ciudad de México. Debe su nombre a estar situada sobre la Avenida Aquiles Serdán.',2,1,79,105,'aquilesserdan','aquiles_serdan',0,1);</t>
  </si>
  <si>
    <t>INSERT INTO tb_nodos VALUES (48,1,'Aragón','La estación Aragón, pertenece a la línea 5 (Amarillo) del Metro de la Ciudad de México. Debe su nombre a que fue la estación más cercana al Bosque de San Juan de Aragón antes de la construcción de la línea B. ',2,1,399,182,'aragon','aragon',0,1);</t>
  </si>
  <si>
    <t>INSERT INTO tb_nodos VALUES (132,1,'Atlalilco','La estación Atlalilco, pertenece a la línea 8 (Verde Claro) del Metro de la Ciudad de México. Debe su nombre a estar situada en el Medio Pueblo de Atlalilco, del que forma parte el barrio de Santa Bárbara.',3,1,381,493,'atlalilco','atlalilco',0,1);</t>
  </si>
  <si>
    <t>INSERT INTO tb_nodos VALUES (37,1,'Auditorio','La estación Auditorio, pertenece a la línea 7 (Naranja) del Metro de la Ciudad de México. Debe su nombre a estar situada a u costado del Auditorio Nacional.',3,1,79,286,'auditorio','auditorio',0,1);</t>
  </si>
  <si>
    <t>INSERT INTO tb_nodos VALUES (44,1,'Autobuses del Norte','La estación Autobuses del Norte, pertenece a la línea 5 (Amarillo) del Metro de la Ciudad de México. Debe su nombre a estar situada enfrente de la central camionera del norte.',4,1,210,119,'autobusesdelnorte','autobuses_del_norte',0,1);</t>
  </si>
  <si>
    <t>INSERT INTO tb_nodos VALUES (26,1,'Azcapotzalco','La estación Azcapotzalco, pertenece a la línea 6 (Rojo) del Metro de la Ciudad de México. Debe su nombre a estar situada en la delegación Azcapotzalco y sobre la prolongación de Av. Azcapotzalco.',2,1,109,103,'azcapotzalco','azcapotzalco',0,1);</t>
  </si>
  <si>
    <t>INSERT INTO tb_nodos VALUES (112,1,'Balbuena','La estación Balbuena, pertenece a la línea 1 (Rosa) del Metro de la Ciudad de México. Debe su nombre a estar situada en la colonia Jardín Balbuena.',2,1,403,270,'balbuena','balbuena',0,1);</t>
  </si>
  <si>
    <t>INSERT INTO tb_nodos VALUES (17,1,'Balderas','La estación Balderas, sirve de correspondencia de las líneas 1 (Rosa) y 3 (Verde) del Metro de la Ciudad de México. Debe su nombre a estar situada sobre la Avenida Balderas.',4,1,196,280,'balderas','balderas',1,1);</t>
  </si>
  <si>
    <t>INSERT INTO tb_nodos VALUES (42,1,'Barranca del Muerto','La estación Barranca del Muerto, es una de las terminales de la línea 7 (Naranja) del Metro de la Ciudad de México. Debe su nombre a estar situada sobre la Avenida Barranca del Muerto.',2,1,79,440,'barrancadelmuerto','barranca_del_muerto',0,1);</t>
  </si>
  <si>
    <t>INSERT INTO tb_nodos VALUES (15,1,'Bellas Artes','La estación Bellas Artes, sirve de correspondencia entre las líneas 2 (Azul) y 8 (Verde Claro) del Metro de la Ciudad de México. Debe su nombre por estar situada en las inmediaciones del Palacio de Bellas Artes.',4,1,236,213,'bellasartes','bellas_artes',1,1);</t>
  </si>
  <si>
    <t>INSERT INTO tb_nodos VALUES (66,1,'Bondojito','La estación Bondojito, pertenece a la línea 4 (Agua) del Metro de la Ciudad de México. Debe su nombre a estar situada en la Colonia Bondojito (La palabra bondo significa en lengua otomí: nopal pelón).',2,1,347,135,'bondojito','bondojito',0,1);</t>
  </si>
  <si>
    <t>INSERT INTO tb_nodos VALUES (93,1,'Bosque de Aragón','La estación Bosque de Aragón, pertenece a la línea B (Gris) del Metro de la Ciudad de México. Debe su nombre al Bosque de Aragón, ubicando una entrada de éste en la salida poniente de la estación.',2,1,443,175,'bosquedearagon','bosque_de_aragon',0,1);</t>
  </si>
  <si>
    <t>INSERT INTO tb_nodos VALUES (113,1,'Boulevard Puerto Aéreo','La estación Boulevard Puerto Aéreo (Anteriormente Aeropuerto), pertenece a la línea 1 (Rosa) del Metro de la Ciudad de México. Debe su nombre ya que al momento de su construcción (1969), era la más cercana al Aeropuerto Internacional de la Ciudad de México.',6,1,409,291,'boulevardpuertoaereo','boulevard_puerto_aereo',0,1);</t>
  </si>
  <si>
    <t>INSERT INTO tb_nodos VALUES (87,1,'Buenavista','La estación Buenavista, es una de las terminales de la línea B (Gris) del Metro de la Ciudad de México. Debe su nombre a estar situada sobre la colonia Buenavista.',4,1,170,193,'buenavista','buenavista',0,1);</t>
  </si>
  <si>
    <t>INSERT INTO tb_nodos VALUES (33,1,'Camarones','La estación Camarones, pertenece a la línea 7 (Naranja) del Metro de la Ciudad de México. Debe su nombre a un antiguo poblado y camino real existentes en el año 1790 conocidos como Camarones',2,1,79,122,'camarones','camarones',0,1);</t>
  </si>
  <si>
    <t>INSERT INTO tb_nodos VALUES (138,1,'Canal de San Juan','La estación Canal de San Juan, pertenece a la línea A (Morado) del Metro de la Ciudad de México. Debe su nombre a estar situada sobre la Avenida Canal de San Juan.',2,1,471,372,'canaldesanjuan','canal_de_san_juan',0,1);</t>
  </si>
  <si>
    <t>INSERT INTO tb_nodos VALUES (67,1,'Canal del Norte','La estación Canal del Norte, pertenece a la línea 4 (Agua) del Metro de la Ciudad de México. Debe su nombre a un antiguo canal que conectaba a la Villa con la Ciudad de Mexico en la época del virreinato.',2,1,347,188,'canaldelnorte','canal_del_norte',0,1);</t>
  </si>
  <si>
    <t>INSERT INTO tb_nodos VALUES (20,1,'Candelaria','La estación Candelaria, sirve de correspondencia de las líneas 1 (Rosa) y 4 (Agua) del Metro de la Ciudad de México. Debe su nombre a estar situada en al Colonia la Candelaria de los Patos.',4,1,347,231,'candelaria','candelaria',1,1);</t>
  </si>
  <si>
    <t>INSERT INTO tb_nodos VALUES (21,1,'Centro Médico','La estación Centro Médico, sirve de correspondencia de las líneas 3 (Verde) y 9 (Café) del Metro de la Ciudad de México. Debe su nombre al hospital general, Centro Médico Siglo XXI, situado sobre la estación del metro.',9,1,196,352,'centromedico','centro_medico',1,1);</t>
  </si>
  <si>
    <t>INSERT INTO tb_nodos VALUES (134,1,'Cerro de la Estrella','La estación Cerro de la Estrella, pertenece a la línea 8 (Verde Claro) del Metro de la Ciudad de México. Debe su nombre a estar situada en las cercanías del Cerro de la Estrella.',4,1,413,501,'cerrodelaestrella','cerro_de_la_estrella',0,1);</t>
  </si>
  <si>
    <t>INSERT INTO tb_nodos VALUES (22,1,'Chabacano','La estación Chabacano, sirve de correspondencia entre 3 Líneas del Metro de la Ciudad de México: 2 (Azul), 8 (Verde Claro) y 9 Café). Debe su nombre a estar situada sobre la Calzada Chabacano.',9,1,289,352,'chabacano','chabacano',1,1);</t>
  </si>
  <si>
    <t>INSERT INTO tb_nodos VALUES (105,1,'Chapultepec','La estación Chapultepec, pertenece a la línea 1 (Rosa) del Metro de la Ciudad de México. Debe su nombre a estar situada en las cercanías del Bosque de Chapultepec y el Castillo de Chapultepec.',5,1,114,315,'chapultepec','chapultepec',0,1);</t>
  </si>
  <si>
    <t>INSERT INTO tb_nodos VALUES (117,1,'Chilpancingo','La estación Chilpancingo (Lugar de Avispas), pertenece a la línea 9 (Café) del Metro de la Ciudad de México. Debe su nombre a estar situada en las cercanías de la calle de Chilpancingo',4,1,167,352,'chilpancingo','chilpancingo',0,1);</t>
  </si>
  <si>
    <t>INSERT INTO tb_nodos VALUES (102,1,'Ciudad Azteca','La estación Ciudad Azteca, es una de las terminales de la línea B (Gris) del Metro de la Ciudad de México. Debe su nombre a estar situada en la colonia Ciudad Azteca.',4,1,443,23,'ciudadazteca','ciudad_azteca',0,1);</t>
  </si>
  <si>
    <t>INSERT INTO tb_nodos VALUES (121,1,'Ciudad Deportiva','La estación Ciudad Deportiva, pertenece a la línea 9 (Café) del Metro de la Ciudad de México. Debe su nombre a estar situada al lado de la Ciudad Deportiva Magdalena Mixiuhca. ',2,1,425,352,'ciudaddeportiva','ciudad_deportiva',0,1);</t>
  </si>
  <si>
    <t>INSERT INTO tb_nodos VALUES (73,1,'Colegio Militar','La estación Colegio Militar, pertenece a la línea 2 (Azul) del Metro de la Ciudad de México. Debe su nombre a que la salida sur se encuentra al costado del viejo Colegio Militar.',3,1,116,213,'colegiomilitar','colegio_militar',0,1);</t>
  </si>
  <si>
    <t>INSERT INTO tb_nodos VALUES (136,1,'Constitución de 1917','La estación Constitución de 1917, es una de las terminales de la línea 8 (Verde Claro) del Metro de la Ciudad de México. Debe su nombre a estar situada en la Colonia Constitución de 1917.',4,1,448,501,'constitucionde1917','const_de_1917',0,1);</t>
  </si>
  <si>
    <t>INSERT INTO tb_nodos VALUES (38,1,'Constituyentes','La estación Constituyentes, pertenece a la línea 7 (Naranja) del Metro de la Ciudad de México. Debe su nombre a estar situada cerca de la Avenida Constituyentes.',2,1,79,319,'constituyentes','constituyentes',0,1);</t>
  </si>
  <si>
    <t>INSERT INTO tb_nodos VALUES (6,1,'Consulado','La estación Consulado, sirve de correspondencia entre las líneas 4 (Agua) y 5 (Amarillo) del Metro de Ciudad de México. Debe su nombre a estar situada en la Av. Río Consulado, llamada así a su vez por haber sido construida en el cauce del antiguo Río del mismo nombre, que fue entubado y corre bajo la avenida.',4,1,347,161,'consulado','consulado',1,1);</t>
  </si>
  <si>
    <t>INSERT INTO tb_nodos VALUES (63,1,'Copilco','La estación Copilco, pertenece a la línea 3 (Verde) del Metro de la Ciudad de México. Debe su nombre a estar situado en el antiguo centro ceremonial mesoamericano.',3,1,196,502,'copilco','copilco',0,1);</t>
  </si>
  <si>
    <t>INSERT INTO tb_nodos VALUES (60,1,'Coyoacán','La estación Coyoacán, pertenece a la línea 3 (Verde) del Metro de la Ciudad de México. Debe su nombre a estar situada en las cercanías de la Avenida Coyoacán y por su cercanía con el Centro Histórico de Coyoacán (es En Náhuatl significa "Lugar de Coyotes").',3,1,196,446,'coyoacan','coyoacan',0,1);</t>
  </si>
  <si>
    <t>INSERT INTO tb_nodos VALUES (127,1,'Coyuya','La estación Coyuya (en náhuatl significa donde se hacen los cascabeles), pertenece a la línea 8 (Verde Claro) del Metro de la Ciudad de México. Debe su nombre a estar situada cerca de la avenida Coyuya.',4,1,375,402,'coyuya','coyuya',0,1);</t>
  </si>
  <si>
    <t>INSERT INTO tb_nodos VALUES (69,1,'Cuatro Caminos','La estación Cuatro Caminos, es una de las terminales de la línea 2 (Azul) del Metro de la Ciudad de México. El nombre de la estación viene del náhuatl Nauh Campa que significa: hacía los cuatro rumbos; ya que se cree que enfrente de la actual Escuela Militar de Transmisiones se encontraba el Nauh Campa: Por el norte hacia Azcapotzalco, por el sur a Chapultepec, por el oeste a Naucalpan y al este a Tenochtitlán. ',2,1,23,176,'cuatrocaminos','cuatro_caminos',0,1);</t>
  </si>
  <si>
    <t>INSERT INTO tb_nodos VALUES (108,1,'Cuauhtemoc','La estación Cuauhtémoc ("Águila que cae"), pertenece a la línea 1 (Rosa) del Metro de la Ciudad de México. Debe su nombre a estar situada en las cercanías de la Avenida Cuauhtémoc.',2,1,173,280,'cuauhtemoc','cuauhtemoc',0,1);</t>
  </si>
  <si>
    <t>INSERT INTO tb_nodos VALUES (71,1,'Cuitlahuac','La estación Cuitláhuac, pertenece a la línea 2 (Azul) del Metro de la Ciudad de México. Debe su nombre a estar situada sobre la Avenida Cuitláhuac.',2,1,90,188,'cuitlahuac','cuitlahuac',0,1);</t>
  </si>
  <si>
    <t>INSERT INTO tb_nodos VALUES (3,1,'Deportivo 18 de marzo','La estación Deportivo 18 de marzo, sirve de correspondencia entre las líneas 3 (Verde) y 6 (Rojo) del Metro de la Ciudad de México. La estación debe su nombre al Deportivo 18 de Marzo que se ubica junto a la estación.',4,1,248,103,'deportivo18demarzo','deportivo_18_de_marzo',1,1);</t>
  </si>
  <si>
    <t>INSERT INTO tb_nodos VALUES (92,1,'Deportivo Oceanía','La estación Deportivo Oceanía, pertenece a la línea B (Gris) del Metro de la Ciudad de México. Debe su nombre a estar situada cerca del Deportivo Oceanía.',2,1,437,190,'deportivooceania','deportivo_oceania',0,1);</t>
  </si>
  <si>
    <t>INSERT INTO tb_nodos VALUES (59,1,'División del Norte','La estación División del Norte, pertenece a la línea 3 (Verde) del Metro de la Ciudad de México. Debe su nombre a estar situada sobre la Avenida División del Norte.',5,1,196,409,'divisiondelnorte','division_del_norte',0,1);</t>
  </si>
  <si>
    <t>INSERT INTO tb_nodos VALUES (124,1,'Doctores','La estación Doctores, pertenece a la línea 8 (Verde Claro) del Metro de la Ciudad de México. Debe su nombre a estar situada en la Colonia Doctores.',4,1,243,304,'doctores','doctores',0,1);</t>
  </si>
  <si>
    <t>INSERT INTO tb_nodos VALUES (99,1,'Ecatepec','La estación Ecatepec ("Cerro del Viento"), pertenece a la línea B (Gris) del Metro de la Ciudad de México. Debe su nombre a estar situada en el municipio de Ecatepec.',2,1,443,74,'ecatepec','ecatepec',0,1);</t>
  </si>
  <si>
    <t>INSERT INTO tb_nodos VALUES (47,1,'Eduardo Molina','La estación Eduardo Molina, pertenece a la línea 5 (Amarillo) del Metro de la Ciudad de México. Debe su nombre a estar situada cerca de la avenida Eduardo Molina.',2,1,383,166,'eduardomolina','eduardo_molina',0,1);</t>
  </si>
  <si>
    <t>INSERT INTO tb_nodos VALUES (1,1,'El Rosario','La estación El Rosario, es terminal de las líneas 6 (Rojo) y 7 (Naranja) del Metro de Ciudad de México. La estación recibe su nombre por estar ubicada en la colonia El Rosario, que a su vez fue nombrada así por haber sido construida en la exhacienda del mismo nombre.',4,1,79,81,'elrosario','el_rosario',1,1);</t>
  </si>
  <si>
    <t>INSERT INTO tb_nodos VALUES (147,1,'Ermita','La estación Ermita, pertenece a la línea 2 (Azul) del Metro de la Ciudad de México. Debe su nombre a la ermita más antigua que fue la de San Cosme, construida en el año de 1526.',2,1,289,470,'ermita','ermita',0,1);</t>
  </si>
  <si>
    <t>INSERT INTO tb_nodos VALUES (131,1,'Escuadrón 201','La estación Escuadrón 201, pertenece a la línea 8 (Verde Claro) del Metro de la Ciudad de México. Debe su nombre a estar situada  en la colonia Escuadrón 201.',3,1,375,476,'escuadron201','escuadron_201',0,1);</t>
  </si>
  <si>
    <t>INSERT INTO tb_nodos VALUES (57,1,'Etiopia / Plaza de la Transparencia','La estación Etiopia / Plaza de la Transparencia, pertenece a la línea 3 (Verde) del Metro de la Ciudad de México. Debe su nombre  de una vieja glorieta que estaba situada en la intersección de las Avenidas Cuauhtémoc y Xola, la cual era llamada Glorieta de Etiopía y a su cercanía con el Instituto de Acceso a la Información Pública del Distrito Federal.',4,1,196,371,'etiopia','etiopia',0,1);</t>
  </si>
  <si>
    <t>INSERT INTO tb_nodos VALUES (58,1,'Eugenia','La estación Eugenia, pertenece a la línea 3 (Verde) del Metro de la Ciudad de México. Debe su nombre a una antigua quinta, llamada Quinta Eugenia que se localizaba en las cercanías del actual Eje 5 Sur Eugenia.',2,1,196,390,'eugenia','eugenia',0,1);</t>
  </si>
  <si>
    <t>INSERT INTO tb_nodos VALUES (27,1,'Ferrería','La estación Ferrería, pertenece a la línea 6 (Rojo) del Metro de la Ciudad de México. Debe su nombre la antigua Hacienda Ferrería que se encontraba en la zona. ',3,1,128,103,'ferreria','ferreria',0,1);</t>
  </si>
  <si>
    <t>INSERT INTO tb_nodos VALUES (68,1,'Fray Servando','La estación Fray Servando, pertenece a la línea 4 (Agua) del Metro de la Ciudad de México. Debe su nombre a estar situada sobre la Avenida Fray Servando Teresa de Mier.',2,1,347,302,'frayservando','fray_servando',0,1);</t>
  </si>
  <si>
    <t>INSERT INTO tb_nodos VALUES (9,1,'Garibaldi','La estación Garibaldi, es terminal de la línea 8 (Verde Claro) y sirve de correspondencia con la línea B (Gris) del Metro de Ciudad de México. Debe su nombre a la conocida Plaza Garibaldi ubicada en sus cercanías.',6,1,236,193,'garibaldi','garibaldi',1,1);</t>
  </si>
  <si>
    <t>INSERT INTO tb_nodos VALUES (85,1,'General Anaya','La estación General Anaya, pertenece a la línea 2 (Azul) del Metro de la Ciudad de México. Debe su nombre al general Pedro María Anaya, quien en 1847, libró la Batalla de Churubusco en el exconvento localizado a 2 cuadras de la estación. Actualmente el exconvento aloja al Museo Nacional de las Intervenciones.',2,1,289,489,'generalanaya','general_anaya',0,1);</t>
  </si>
  <si>
    <t>INSERT INTO tb_nodos VALUES (114,1,'Gomez Farias','La estación Gomez Farias, pertenece a la línea 1 (Rosa) del Metro de la Ciudad de México. Debe su nombre a estar situada en la colonia Valentín Gómez Farías.',2,1,413,312,'gomezfarias','gomez_farias',0,1);</t>
  </si>
  <si>
    <t>INSERT INTO tb_nodos VALUES (140,1,'Guelatao','La estación Guelatao, pertenece a la línea A (Morado) del Metro de la Ciudad de México. Debe su nombre al pueblo donde nació Benito Juárez.',2,1,471,409,'guelatao','guelatao',0,1);</t>
  </si>
  <si>
    <t>INSERT INTO tb_nodos VALUES (8,1,'Guerrero','La estación Guerrero, sirve de correspondencia entre las líneas 3 (Verde) y B (Gris) del Metro de Ciudad de México. Debe su nombre por estar situada en la colonia Guerrero y en la avenida del mismo nombre.',6,1,196,193,'guerrero','guerrero',1,1);</t>
  </si>
  <si>
    <t>INSERT INTO tb_nodos VALUES (50,1,'Hangares','La estación Hangares, pertenece a la línea 5 (Amarillo) del Metro de la Ciudad de México. Debe su nombre a los hangares del Aeropuerto cercanos a la estación, aunque muchos de estos fueron demolidos por la construcción de la Terminal 2 del Aeropuerto.',2,1,453,290,'hangares','hangares',0,1);</t>
  </si>
  <si>
    <t>INSERT INTO tb_nodos VALUES (14,1,'Hidalgo','La estación Hidalgo, sirve de correspondencia a las Líneas 2 (Azul) y 3 (Verde) del Metro de Ciudad de México. Debe su nombre por estar situada en la Avenida Hidalgo.',8,1,196,213,'hidalgo','hidalgo',1,1);</t>
  </si>
  <si>
    <t>INSERT INTO tb_nodos VALUES (56,1,'Hospital General','La estación Hospital General, pertenece a la línea 3 (Verde) del Metro de la Ciudad de México. Debe su nombre a estar situada junto al Hospital General de México, el más antiguo hospital público de la Ciudad de México.',2,1,196,317,'hospitalgeneral','hospital_general',0,1);</t>
  </si>
  <si>
    <t>INSERT INTO tb_nodos VALUES (96,1,'Impulsora','La estación Impulsora, pertenece a la línea B (Gris) del Metro de la Ciudad de México. Debe su nombre a estar situada en la Colonia La Impulsora.',4,1,443,124,'impulsora','impulsora',0,1);</t>
  </si>
  <si>
    <t>INSERT INTO tb_nodos VALUES (51,1,'Indios Verdes','La estación Indios Verdes, es una de las terminales de la línea 3 (Verde) del Metro de la Ciudad de México. Debe su nombre a dos monumentos en memoria de los reyes guerreros mexicas: Itzcóatl y Ahuizotl',2,1,248,61,'indiosverdes','indios_verdes',0,1);</t>
  </si>
  <si>
    <t>INSERT INTO tb_nodos VALUES (2,1,'Instituto del Petróleo','La estación Instituto del Petróleo, sirve de correspondencia entre las líneas 5 (Amarillo) y 6 (Rojo) del Metro de Ciudad de México. La estación debe su nombre por estar situada frente al Instituto Mexicano del Petróleo. ',6,1,195,103,'institutodelpetroleo','instituto_del_petroleo',1,1);</t>
  </si>
  <si>
    <t>INSERT INTO tb_nodos VALUES (107,1,'Insurgentes','La estación Insurgentes, pertenece a la línea 1 (Rosa) del Metro de la Ciudad de México. Debe su nombre a estar situada sobre la avenida de los Insurgentes.',6,1,152,280,'insurgentes','insurgentes',0,1);</t>
  </si>
  <si>
    <t>INSERT INTO tb_nodos VALUES (109,1,'Isabel la Católica','La estación Isabel la Católica, pertenece a la línea 1 (Rosa) del Metro de la Ciudad de México. Debe su nombre a estar situada sobre la Avenida Isabel la Católica.',2,1,263,280,'isabellacatolica','isabel_la_catolica',0,1);</t>
  </si>
  <si>
    <t>INSERT INTO tb_nodos VALUES (128,1,'Iztacalco','La estación Iztacalco, pertenece a la línea 8 (Verde Claro) del Metro de la Ciudad de México. Iztacalco significa En La casa de La Sal, del náhuatl iztatl=sal, calli=casa, y co=lugar.',4,1,375,420,'iztacalco','iztacalco',0,1);</t>
  </si>
  <si>
    <t>INSERT INTO tb_nodos VALUES (133,1,'Iztapalapa','La estación Iztapalapa, pertenece a la línea 8 (Verde Claro) del Metro de la Ciudad de México. Debe su nombre a estar situada en las cercanías de las oficinas de la delegación Iztapalapa.',2,1,395,501,'iztapalapa','iztapalapa',0,1);</t>
  </si>
  <si>
    <t>INSERT INTO tb_nodos VALUES (23,1,'Jamaica','La estación Jamaica, sirve de correspondencia de las líneas 4 (Agua) y 9 (Café) del Metro de la Ciudad de México. Debe su nombre a la cercanía con el famoso Mercado de Jamaica.',6,1,347,352,'jamaica','jamaica',1,1);</t>
  </si>
  <si>
    <t>INSERT INTO tb_nodos VALUES (104,1,'Juanacatlan','La estación Juanacatlán, pertenece a la línea 1 (Rosa) del Metro de la Ciudad de México. El nombre de la estación proviene del vocablo Náhuatl Xonacatlán, que significa "lugar de cebollas"; y hace referencia a un municipio localizado al centro del estado de Jalisco.',3,1,97,332,'juanacatlan','juanacatlan',0,1);</t>
  </si>
  <si>
    <t>INSERT INTO tb_nodos VALUES (54,1,'Juarez','La estación Juarez, pertenece a la línea 3 (Verde) del Metro de la Ciudad de México. Debe su nombre a estar situada cerca de la Avenida Juárez.',2,1,196,245,'juarez','juarez',0,1);</t>
  </si>
  <si>
    <t>INSERT INTO tb_nodos VALUES (145,1,'La Paz','La estación La Paz, es una de las terminales de la línea A (Morado) del Metro de la Ciudad de México. Debe su nombre a estar situada en la cabecera del municipio de La Paz.',2,1,492,499,'lapaz','la_paz',0,1);</t>
  </si>
  <si>
    <t>INSERT INTO tb_nodos VALUES (5,1,'La Raza','La estación La Raza, sirve de correspondencia entre las líneas 3 (Verde) y 5 (Amarillo) del Metro de Ciudad de México. La estación debe su nombre a estar situada junto al Monumento a La Raza, conjunto arquitectónico en forma de pirámide prehispánica que conmemora a las culturas que surgieron en el país con anterioridad a la conquista española.',5,1,227,136,'laraza','la_raza',1,1);</t>
  </si>
  <si>
    <t>INSERT INTO tb_nodos VALUES (126,1,'La Viga','La estación La Viga, pertenece a la línea 8 (Verde Claro) del Metro de la Ciudad de México. Debe su nombre a estar situada cerca de la Calzada de La Viga y por el nombre que recibe el centro de distribución de pescados y mariscos conocido como La Viga.',4,1,309,373,'laviga','la_viga',0,1);</t>
  </si>
  <si>
    <t>INSERT INTO tb_nodos VALUES (31,1,'La Villa / Basílica','La estación La Villa / Basílica, pertenece a la línea 6 (Rojo) del Metro de la Ciudad de México. Debe su nombre a la cercanía con la Basílica de Guadalupe, ubicada en la zona conocida como La Villa por su antiguo nombre de Villa de Guadalupe.',2,1,295,103,'lavilla','la_villa_basilica',0,1);</t>
  </si>
  <si>
    <t>INSERT INTO tb_nodos VALUES (88,1,'Lagunilla','La estación Lagunilla, pertenece a la línea B (Gris) del Metro de la Ciudad de México. Debe su nombre a la laguna o lagunilla formada en tiempos coloniales, cuando gran parte de la Ciudad de México se encontraba rodeada por el Lago de Texcoco.',4,1,286,193,'lagunilla','lagunilla',0,1);</t>
  </si>
  <si>
    <t>INSERT INTO tb_nodos VALUES (118,1,'Lázaro Cárdenas','La estación Lázaro Cárdenas, pertenece a la línea 9 (Café) del Metro de la Ciudad de México. Debe su nombre a estar situada sobre el Eje Central Lázaro Cárdenas.',4,1,244,352,'lazarocardenas','lazaro_cardenas',0,1);</t>
  </si>
  <si>
    <t>INSERT INTO tb_nodos VALUES (30,1,'Lindavista','La estación Lindavista, pertenece a la línea 6 (Rojo) del Metro de la Ciudad de México. Debe su nombre a estar situada junto a la colonia Lindavista.',2,1,230,103,'lindavista','lindavista',0,1);</t>
  </si>
  <si>
    <t>INSERT INTO tb_nodos VALUES (144,1,'Los Reyes','La estación Los Reyes, pertenece a la línea A (Morado) del Metro de la Ciudad de México. Debe su nombre a estar situada en la Ciudad de Los Reyes Acaquilpan del municipio de La Paz.',2,1,478,485,'losreyes','los_reyes',0,1);</t>
  </si>
  <si>
    <t>INSERT INTO tb_nodos VALUES (4,1,'Martin Carrera','La estación Martín Carrera, es la estación terminal de las líneas 4 (Agua) y 6 (Rojo) del metro de la Ciudad de México. La estación recibe su nombre por estar ubicado en la colonia Martín Carrera.',5,1,347,103,'martincarrera','martin_carrera',1,1);</t>
  </si>
  <si>
    <t>INSERT INTO tb_nodos VALUES (110,1,'Merced','La estación Merced, pertenece a la línea 1 (Rosa) del Metro de la Ciudad de México. Debe su nombre a estar situada a un costado del famoso Mercado de La Merced.',2,1,308,271,'merced','merced',0,1);</t>
  </si>
  <si>
    <t>INSERT INTO tb_nodos VALUES (62,1,'Miguel Ángel de Quevedo','La estación Miguel Ángel de Quevedo, pertenece a la línea 3 (Verde) del Metro de la Ciudad de México. Debe su nombre a estar situada sobre la Avenida Miguel Ángel de Quevedo.',3,1,196,483,'miguelangeldequevedo','miguel_angel_de_quevedo',0,1);</t>
  </si>
  <si>
    <t>INSERT INTO tb_nodos VALUES (45,1,'Misterios','La estación Misterios, pertenece a la línea 5 (Amarillo) del Metro de la Ciudad de México. Debe su nombre a estar situada cerca de la Calzada de los Misterios.',2,1,240,150,'misterios','misterios',0,1);</t>
  </si>
  <si>
    <t>INSERT INTO tb_nodos VALUES (41,1,'Mixcoac','La estación Mixcoac, pertenece a la línea 7 (Naranja) del Metro de la Ciudad de México. Debe su nombre a estar situada en la Colonia Mixcoac',2,1,79,421,'mixcoac','mixcoac',0,1);</t>
  </si>
  <si>
    <t>INSERT INTO tb_nodos VALUES (119,1,'Mixiuhca','La estación Mixiuhca (lugar de parto), pertenece a la línea 9 (Café) del Metro de la Ciudad de México. Debe su nombre a estar situada en el pueblo de La Magdalena Mixiuhca.',2,1,379,352,'mixiuhca','mixiuhca',0,1);</t>
  </si>
  <si>
    <t>INSERT INTO tb_nodos VALUES (111,1,'Moctezuma','La estación Moctezuma, pertenece a la línea 1 (Rosa) del Metro de la Ciudad de México. Debe su nombre a estar situada por la Colonia Moctezuma 1ª sección.',2,1,388,253,'moctezuma','mactezuma',0,1);</t>
  </si>
  <si>
    <t>INSERT INTO tb_nodos VALUES (10,1,'Morelos','La estación Morelos, sirve de correspondencia entre las líneas 4 (Agua) y B (Gris) del Metro de Ciudad de México. Debe su nombre a estar situada en la Colonia Morelos.',4,1,347,210,'morelos','morelos',1,1);</t>
  </si>
  <si>
    <t>INSERT INTO tb_nodos VALUES (98,1,'Muzquiz','La estación Múzquiz, pertenece a la línea B (Gris) del Metro de la Ciudad de México. Debe su nombre a estar situada cerca de la Colonia Melchor Múzquiz.',4,1,443,91,'muzquiz','muzquiz',0,1);</t>
  </si>
  <si>
    <t>INSERT INTO tb_nodos VALUES (83,1,'Nativitas','La estación Nativitas, pertenece a la línea 2 (Azul) del Metro de la Ciudad de México. Debe su nombre al lago que existió ahí en otro tiempo, cuando sus habitantes de origen prehispánico cosechaban en chinampas. Posteriormente el nombre se refería a una pequeña villa construida en la periferia de la Ciudad de México a mediados del siglo XX.',2,1,289,434,'nativitas','nativitas',0,1);</t>
  </si>
  <si>
    <t>INSERT INTO tb_nodos VALUES (95,1,'Nezahualcoyotl','La estación Nezahualcóyotl, pertenece a la línea B (Gris) del Metro de la Ciudad de México. Debe su nombre a estar situada en el Municipio de Nezahualcóyotl.',4,1,443,141,'nezahualcoyotl','nezahualcoyotl',0,1);</t>
  </si>
  <si>
    <t>INSERT INTO tb_nodos VALUES (55,1,'Niños Héroes','La estación Niños Héroes, pertenece a la línea 3 (Verde) del Metro de la Ciudad de México. Debe su nombre a estar situada sobre la Avenida Niños Héroes.',4,1,196,298,'ninosheroes','ninos_heroes',0,1);</t>
  </si>
  <si>
    <t>INSERT INTO tb_nodos VALUES (74,1,'Normal','La estación Normal, pertenece a la línea 2 (Azul) del Metro de la Ciudad de México. Debe su nombre a la  Benemérita Escuela Nacional de Maestros que se encuentra cerca de la estación. ',3,1,133,213,'normal','normal',0,1);</t>
  </si>
  <si>
    <t>INSERT INTO tb_nodos VALUES (28,1,'Norte 45','La estación Norte 45, pertenece a la línea 6 (Rojo) del Metro de la Ciudad de México. Debe su nombre a estar situada cerca de la Avenida Norte 45.',2,1,154,103,'norte45','norte_45',0,1);</t>
  </si>
  <si>
    <t>INSERT INTO tb_nodos VALUES (125,1,'Obrera','La estación Obrera, pertenece a la línea 8 (Verde Claro) del Metro de la Ciudad de México. Debe su nombre a estar situada en la Colonia Obrera.',4,1,259,321,'obrera','obrera',0,1);</t>
  </si>
  <si>
    <t>INSERT INTO tb_nodos VALUES (103,1,'Observatorio','La estación Observatorio, es una de las terminales de la línea 1 (Rosa) del Metro de la Ciudad de México. Debe su nombre a que la Universidad Nacional Autónoma de México (UNAM) colocó un observatorio astronómico en la cima de una colina cerca de la estación del metro, en un palacio colonial que anteriormente pertenecía al Arzobispado de México.',4,1,59,374,'observatorio','observatorio',0,1);</t>
  </si>
  <si>
    <t>INSERT INTO tb_nodos VALUES (7,1,'Oceanía','La estación Oceanía, sirve de correspondencia entre las líneas 5 (Amarillo) y B (Gris) del Metro de Ciudad de México. Debe su nombre a la avenida en la que está ubicada.',4,1,422,206,'oceania','oceania',1,1);</t>
  </si>
  <si>
    <t>INSERT INTO tb_nodos VALUES (100,1,'Olímpica','La estación Olímpica, pertenece a la línea B (Gris) del Metro de la Ciudad de México. Debe su nombre a estar situada el la Colonia Olímpica de Ecatepec.',2,1,443,57,'olimpica','olimpica',0,1);</t>
  </si>
  <si>
    <t>INSERT INTO tb_nodos VALUES (70,1,'Panteones','La estación Panteones, pertenece a la línea 2 (Azul) del Metro de la Ciudad de México. Debe su nombre a estar situada cerca de varios cementerios, entre ellos el Panteón Español y el Panteón Sanctorum.',3,1,52,176,'panteones','panteones',0,1);</t>
  </si>
  <si>
    <t>INSERT INTO tb_nodos VALUES (12,1,'Pantitlán','La estación Pantitlán, es terminal y correspondencia de cuatro líneas del Metro de Ciudad de México: 1 (Rosa), 5 (Amarillo), 9 (Café) y A (Morado), siendo con esto la terminal mas grande del Sistema de Transporte. Debe su nombre a un vocablo náhuatl que significa: entre banderas.',8,1,453,331,'pantitlan','pantitlan',1,1);</t>
  </si>
  <si>
    <t>INSERT INTO tb_nodos VALUES (116,1,'Patriotismo','La estación Patriotismo, pertenece a la línea 9 (Café) del Metro de la Ciudad de México. Debe su nombre a estar situada sobre la Avenida Patriotismo.',2,1,120,352,'patriotismo','patriotismo',0,1);</t>
  </si>
  <si>
    <t>INSERT INTO tb_nodos VALUES (141,1,'Peñón Viejo','La estación Peñón Viejo, pertenece a la línea A (Morado) del Metro de la Ciudad de México. Debe su nombre a estar situada cerca del cerro "Peñón del Marqués".',2,1,471,428,'penonviejo','penon_viejo',0,1);</t>
  </si>
  <si>
    <t>INSERT INTO tb_nodos VALUES (19,1,'Pino Suarez','La estación Pino Suárez, sirve de correspondencia de las líneas 1 (Rosa) y 2 (Azul) del Metro de la Ciudad de México. Debe su nombre a estar situada sobre la Avenida Pino Suárez.',4,1,289,280,'pinosuarez','pino_suarez',1,1);</t>
  </si>
  <si>
    <t>INSERT INTO tb_nodos VALUES (101,1,'Plaza Aragón','La estación Plaza Aragón, pertenece a la línea B (Gris) del Metro de la Ciudad de México. Debe su nombre a la cercanía con el centro comercial del mismo Nombre.',2,1,443,40,'plazaaragon','plaza_aragon',0,1);</t>
  </si>
  <si>
    <t>INSERT INTO tb_nodos VALUES (36,1,'Polanco','La estación Polanco, pertenece a la línea 7 (Naranja) del Metro de la Ciudad de México. Debe su nombre a estar situada en la colonia Polanco.',2,1,79,250,'polanco','polanco',0,1);</t>
  </si>
  <si>
    <t>INSERT INTO tb_nodos VALUES (43,1,'Politécnico','La estación Politécnico, es una de las terminales de la línea 5 (Amarillo) del Metro de la Ciudad de México. Debe su nombre a estar situada a unas cuadras del Instituto Politécnico Nacional.',2,1,173,69,'politecnico','politecnico',0,1);</t>
  </si>
  <si>
    <t>INSERT INTO tb_nodos VALUES (72,1,'Popotla','La estación Popotla, pertenece a la línea 2 (Azul) del Metro de la Ciudad de México. Debe su nombre a un poblado ubicado sobre la calzada que llevaba de Tenochtitlán a Tlacopan.',2,1,101,200,'popotla','popotla',0,1);</t>
  </si>
  <si>
    <t>INSERT INTO tb_nodos VALUES (84,1,'Portales','La estación Portales, pertenece a la línea 2 (Azul) del Metro de la Ciudad de México. Debe su nombre a estar situada en la Colonia Portales.',2,1,289,452,'portales','portales',0,1);</t>
  </si>
  <si>
    <t>INSERT INTO tb_nodos VALUES (52,1,'Potrero','La estación Potrero, pertenece a la línea 3 (Verde) del Metro de la Ciudad de México. Su nombre hace referencia a los potreros o establos que existieron en sus cercanías a principios del siglo XX.',4,1,242,120,'potrero','potrero',0,1);</t>
  </si>
  <si>
    <t>INSERT INTO tb_nodos VALUES (122,1,'Puebla','La estación Puebla, pertenece a la línea 9 (Café) del Metro de la Ciudad de México. Debe su nombre a estar situada en la colonia Puebla.',2,1,442,344,'puebla','puebla',0,1);</t>
  </si>
  <si>
    <t>INSERT INTO tb_nodos VALUES (34,1,'Refinería','La estación Refinería, pertenece a la línea 7 (Naranja) del Metro de la Ciudad de México. Debe su nombre a la refinería de Azcapotzalco de PEMEX que se encontraba en la Delegación Azcapotzalco, ahora convertida en el Parque Bicentenario.',2,1,79,153,'refineria','refineria',0,1);</t>
  </si>
  <si>
    <t>INSERT INTO tb_nodos VALUES (76,1,'Revolución','La estación Revolución, pertenece a la línea 2 (Azul) del Metro de la Ciudad de México. Debe su nombre a estar situada en las cercanías del Monumento de la Revolución Mexicana.',3,1,177,213,'revolucion','revolucion',0,1);</t>
  </si>
  <si>
    <t>INSERT INTO tb_nodos VALUES (90,1,'Ricardo Flores Magón','La estación Ricardo Flores Magón, pertenece a la línea B (Gris) del Metro de la Ciudad de México. Debe su nombre al periodista anarquista precursor de la Revolución mexicana.',4,1,386,230,'ricardofloresmagon','ricardo_flores_magon',0,1);</t>
  </si>
  <si>
    <t>INSERT INTO tb_nodos VALUES (97,1,'Río de los Remedios','La estación Río de los Remedios, pertenece a la línea B (Gris) del Metro de la Ciudad de México. Debe su nombre a estar situada sobre el Boulevard Río de los Remedios.',2,1,443,108,'riodelosremedios','rio_de_los_remedios',0,1);</t>
  </si>
  <si>
    <t>INSERT INTO tb_nodos VALUES (91,1,'Romero Rubio','La estación Romero Rubio, pertenece a la línea B (Gris) del Metro de la Ciudad de México. Debe su nombre a estar situada en la Colonia Romero Rubio.',2,1,408,220,'romerorubio','romero_rubio',0,1);</t>
  </si>
  <si>
    <t>INSERT INTO tb_nodos VALUES (18,1,'Salto del Agua','La estación Salto del Agua, sirve de correspondencia de las líneas 1 (Rosa) y 8 (Verde Claro) del Metro de la Ciudad de México. Desde la época de Tenochtitlán existía un acueducto que transportaba agua del cerro de Chapultepec hasta el lugar conocido como Salto del Agua, de donde viene su nombre.',4,1,236,280,'saltodelagua','salto_del_agua',1,1);</t>
  </si>
  <si>
    <t>INSERT INTO tb_nodos VALUES (40,1,'San Antonio','La estación San Antonio, pertenece a la línea 7 (Naranja) del Metro de la Ciudad de México. Debe su nombre a estar situada sobre la Avenida San Antonio.',2,1,79,402,'sanantonio','san_antonio',0,1);</t>
  </si>
  <si>
    <t>INSERT INTO tb_nodos VALUES (79,1,'San Antonio Abad','La estación San Antonio Abad, pertenece a la línea 2 (Azul) del Metro de la Ciudad de México. Debe su nombre a estar situada sobre la avenida San Antonio Abad.',2,1,289,325,'sanantonioabad','san_antonio_abad',0,1);</t>
  </si>
  <si>
    <t>INSERT INTO tb_nodos VALUES (75,1,'San Cosme','La estación San Cosme, pertenece a la línea 2 (Azul) del Metro de la Ciudad de México. Debe su nombre a estar situada sobre la Avenida Ribera de San Cosme.',2,1,153,213,'sancosme','san_cosme',0,1);</t>
  </si>
  <si>
    <t>INSERT INTO tb_nodos VALUES (35,1,'San Joaquín','La estación San Joaquín, pertenece a la línea 7 (Naranja) del Metro de la Ciudad de México. Debe su nombre a estar situada cerca de la Av. Río San Joaquín.',2,1,79,217,'sanjoaquin','san_joaquin',0,1);</t>
  </si>
  <si>
    <t>INSERT INTO tb_nodos VALUES (123,1,'San Juan de Letrán ','La estación San Juan de Letrán, pertenece a la línea 8 (Verde Claro) del Metro de la Ciudad de México. Debe su nombre a estar situada sobre el Eje Central Lázaro Cárdenas, antes conocido por Av. San Juan de Letrán ',4,1,236,244,'sanjuandeletran','san_juan_de_letran',0,1);</t>
  </si>
  <si>
    <t>INSERT INTO tb_nodos VALUES (11,1,'San Lázaro','La estación San Lázaro, sirve de correspondencia entre las líneas 1 (Rosa) y B (Gris) del Metro de Ciudad de México. Debe su nombre a que en ese lugar se encontraba la antigua terminal de ferrocarriles de San Lázaro.',3,1,367,230,'sanlazaro','san_lazaro',1,1);</t>
  </si>
  <si>
    <t>INSERT INTO tb_nodos VALUES (39,1,'San Pedro de los Pinos','La estación San Pedro de los Pinos, pertenece a la línea 7 (Naranja) del Metro de la Ciudad de México. Debe su nombre a estar situada en la colonia San Pedro de los Pinos.',2,1,79,384,'sanpedrodelospinos','san_pedro_de_los_pinos',0,1);</t>
  </si>
  <si>
    <t>INSERT INTO tb_nodos VALUES (24,1,'Santa Anita','La estación Santa Anita, sirve de correspondencia de las líneas 4 (Agua), donde es terminal; y 8 (Verde Claro) del Metro de la Ciudad de México. Debe su nombre a estar situada en la colonia Santa Anita.',3,1,347,382,'santaanita','santa_anita',1,1);</t>
  </si>
  <si>
    <t>INSERT INTO tb_nodos VALUES (143,1,'Santa Marta','La estación Santa Marta, pertenece a la línea A (Morado) del Metro de la Ciudad de México. Debe su nombre a estar situada cerca de la colonia Santa Marta Acatitla.',3,1,471,465,'santamarta','santa_marta',0,1);</t>
  </si>
  <si>
    <t>INSERT INTO tb_nodos VALUES (106,1,'Sevilla','La estación Sevilla, pertenece a la línea 1 (Rosa) del Metro de la Ciudad de México. Debe su nombre a estar situada cerca de la calle Sevilla.',3,1,132,295,'sevilla','sevilla',0,1);</t>
  </si>
  <si>
    <t>INSERT INTO tb_nodos VALUES (13,1,'Tacuba','La estación Tacuba, sirve de correspondencia entre las líneas 2 (Azul) y 7 (Naranja) del Metro de la Ciudad de México. Debe su nombre a estar situada en el barrio de Tacuba (del náhuatl "Tlacopan", que significa "tierra florida") sobre la Calzada México-Tacuba.',5,1,79,176,'tacuba','tacuba',1,1);</t>
  </si>
  <si>
    <t>INSERT INTO tb_nodos VALUES (16,1,'Tacubaya','La estación Tacubaya, sirve de correspondencia entre 3 líneas del metro de la Ciudad de México: 1 (Rosa), 7 (Naranja) y 9 (Café), siendo terminal de esta última. Debe  su nombre a estar situada en la colonia Tacubaya (En náhuatl significa lugar donde se junta el agua).',8,1,79,352,'tacubaya','tacubaya',1,1);</t>
  </si>
  <si>
    <t>INSERT INTO tb_nodos VALUES (65,1,'Talismán','La estación Talismán, pertenece a la línea 4 (Agua) del Metro de la Ciudad de México. Debe su nombre a estar situada cerca de la Avenida Talismán.',2,1,347,119,'talisman','talisman',0,1);</t>
  </si>
  <si>
    <t>INSERT INTO tb_nodos VALUES (86,1,'Tasqueña','La estación Tasqueña (anteriormente Taxqueña), es una de las terminales de la línea 2 (Azul) del Metro de la Ciudad de México. Debe su nombre a estar situada sobre la Avenida Taxqueña.',2,1,289,508,'tasquena','tasquena',0,1);</t>
  </si>
  <si>
    <t>INSERT INTO tb_nodos VALUES (139,1,'Tepalcates','La estación Tepalcates (del náhuatl tepalcatl =  trasto de barro), pertenece a la línea A (Morado) del Metro de la Ciudad de México. Debe su nombre a estar situada en la Colonia Tepalcates.',2,1,471,391,'tepalcates','tepalcates',0,1);</t>
  </si>
  <si>
    <t>INSERT INTO tb_nodos VALUES (89,1,'Tepito','La estación Tepito, pertenece a la línea B (Gris) del Metro de la Ciudad de México. Debe su nombre a estar situada en el barrio de Tepito.',4,1,316,193,'tepito','tepito',0,1);</t>
  </si>
  <si>
    <t>INSERT INTO tb_nodos VALUES (49,1,'Terminal Aérea','La estación Terminal Aérea, pertenece a la línea 5 (Amarillo) del Metro de la Ciudad de México. Debe su nombre a estar situada junto a la terminal 1 del Aeropuerto Internacional de la Ciudad de México.',2,1,453,256,'terminalaerea','terminal_aerea',0,1);</t>
  </si>
  <si>
    <t>INSERT INTO tb_nodos VALUES (25,1,'Tezozomoc','La estación Tezozomoc pertenece a la línea 6 (Rojo) del Metro de la Ciudad de México. Debe su nombre a estar situada en la colonia Tezozomoc y este a su vez del rey Tezozomoc quien gobernó Azcapotzalco en la época prehispánica.',2,1,89,93,'tezozomoc','tezozomoc',0,1);</t>
  </si>
  <si>
    <t>INSERT INTO tb_nodos VALUES (53,1,'Tlatelolco','La estación Tlatelolco, pertenece a la línea 3 (Verde) del Metro de la Ciudad de México. Debe su nombre a estar situada en la Unidad Habitacional Nonoalco-Tlatelolco.',2,1,213,150,'tlatelolco','tlatelolco',0,1);</t>
  </si>
  <si>
    <t>INSERT INTO tb_nodos VALUES (135,1,'UAM I','La estación UAM I, pertenece a la línea 8 (Verde Claro) del Metro de la Ciudad de México. Debe su nombre a la Universidad Autónoma Metropolitana Unidad Iztapalapa.',4,1,431,501,'uami','uam_i',0,1);</t>
  </si>
  <si>
    <t>INSERT INTO tb_nodos VALUES (64,1,'Universidad','La estación Universidad, es una de las terminales de la línea 3 (Verde) del Metro de la Ciudad de México. Debe su nombre a estar situada en los alrededores de la Ciudad Universitaria, principal sede de la Universidad Nacional Autónoma de México.',2,1,196,521,'universidad','universidad',0,1);</t>
  </si>
  <si>
    <t>INSERT INTO tb_nodos VALUES (46,1,'Valle Gómez','La estación Valle Gómez, pertenece a la línea 5 (Amarillo) del Metro de la Ciudad de México. Debe su nombre a estar situada en la Colonia Valle Gómez.',2,1,297,161,'vallegomez','valle_gomez',0,1);</t>
  </si>
  <si>
    <t>INSERT INTO tb_nodos VALUES (29,1,'Vallejo','La estación Vallejo, pertenece a la línea 6 (Rojo) del Metro de la Ciudad de México. Debe su nombre a estar situada en la colonia Industrial Vallejo y también por su cercanía a la avenida del mismo nombre.',2,1,170,103,'vallejo','vallejo',0,1);</t>
  </si>
  <si>
    <t>INSERT INTO tb_nodos VALUES (120,1,'Velódromo','La estación Velódromo, pertenece a la línea 9 (Café) del Metro de la Ciudad de México. Debe su nombre a estar situada al lado del Velódromo Olímpico Agustín Melgar.',2,1,401,352,'velodromo','velodromo',0,1);</t>
  </si>
  <si>
    <t>INSERT INTO tb_nodos VALUES (80,1,'Viaducto','La estación Viaducto, pertenece a la línea 2 (Azul) del Metro de la Ciudad de México. Debe su nombre a estar situada en la Colonia Viaducto Piedad.',2,1,289,378,'viaducto','viaducto',0,1);</t>
  </si>
  <si>
    <t>INSERT INTO tb_nodos VALUES (94,1,'Villa de Aragón','La estación Villa de Aragón, pertenece a la línea B (Gris) del Metro de la Ciudad de México. Debe su nombre a estar situada cerca de la colonia Villa de Aragón.',2,1,443,158,'villadearagon','villa_de_aragon',0,1);</t>
  </si>
  <si>
    <t>INSERT INTO tb_nodos VALUES (82,1,'Villa de Cortés','La estación Villa de Cortés, pertenece a la línea 2 (Azul) del Metro de la Ciudad de México. Debe su nombre a que en el lugar que ahora ocupa, el emperador azteca Moctezuma II recibió a los conquistadores españoles, encabezados por Hernán Cortés.',2,1,289,414,'villadecortes','villa_de_cortes',0,1);</t>
  </si>
  <si>
    <t>INSERT INTO tb_nodos VALUES (61,1,'Viveros / Derechos Humanos','La estación Viveros / Derechos Humanos, pertenece a la línea 3 (Verde) del Metro de la Ciudad de México. Debe su nombre a estar situada a la cercanía de los viveros de coyoacán y las oficinas de la Comisión de Derechos Humanos del Distrito Federal y de ',2,1,196,465,'viveros','viveros',0,1);</t>
  </si>
  <si>
    <t>INSERT INTO tb_nodos VALUES (81,1,'Xola','La estación Xola, pertenece a la línea 2 (Azul) del Metro de la Ciudad de México. Debe su nombre a estar situada sobre la Calle Xola.',2,1,289,396,'xola','xola',0,1);</t>
  </si>
  <si>
    <t>INSERT INTO tb_nodos VALUES (146,1,'Zapata','La estación Zapata, pertenece a la línea 3 (Verde) del Metro de la Ciudad de México. Debe su nombre a estar situada cerca de la avenida Emiliano Zapata.',4,1,196,427,'zapata','zapata',0,1);</t>
  </si>
  <si>
    <t>INSERT INTO tb_nodos VALUES (115,1,'Zaragoza','La estación Zaragoza, pertenece a la línea 1 (Rosa) del Metro de la Ciudad de México. Debe su nombre a estar situada sobre la Calzada Ignacio Zaragoza.',2,1,426,325,'zaragoza','zaragoza',0,1);</t>
  </si>
  <si>
    <t>INSERT INTO tb_nodos VALUES (78,1,'Zócalo','La estación Zócalo, pertenece a la línea 2 (Azul) del Metro de la Ciudad de México. Debe su nombre a estar situada junto a la Plaza de la Constitución, más conocida por el Zócalo.',6,1,289,245,'zocalo','zocalo',0,1);</t>
  </si>
  <si>
    <t>1     Metro</t>
  </si>
  <si>
    <t>INSERT INTO tb_adyacencias VALUES (87,8,11,1,1,120);</t>
  </si>
  <si>
    <t>posicion</t>
  </si>
  <si>
    <t>FALTA INCLUIR POSICION y la que dice posicion es la direccion/sentido (1 o 2)</t>
  </si>
  <si>
    <t>INSERT INTO tb_clases VALUES (5,'Circuito Cerrado de TV','Sistema de monitoreo para la seguridad del pasajero.','logo_com_cctv');</t>
  </si>
  <si>
    <t>INSERT INTO tb_clases VALUES (6,'Celulares','Tienda de equipos / accesorios.','logo_com_celulares');</t>
  </si>
  <si>
    <t>INSERT INTO tb_clases VALUES (8,'Centro de Revelado','Local de revelado de fotografías.','logo_com_centro_de_revelado');</t>
  </si>
  <si>
    <t>INSERT INTO tb_clases VALUES (10,'Cosméticos','Venta de productos de belleza','logo_com_cosmeticos');</t>
  </si>
  <si>
    <t>INSERT INTO tb_clases VALUES (13,'Farmacias','Venta de medicamentos y productos de salud.','logo_com_farmacias');</t>
  </si>
  <si>
    <t>INSERT INTO tb_clases VALUES (21,'Metrobus','Estación de metrobus cercana.','logo_com_metrobus');</t>
  </si>
  <si>
    <t>INSERT INTO tb_clases VALUES (23,'Monumentos Principales','Monumento cercano.','logo_com_monumentos_importantes');</t>
  </si>
  <si>
    <t>INSERT INTO tb_clases VALUES (24,'Tienda Naturista','Local de productos de origen natural, para la salud y por el gusto.','logo_com_naturistas');</t>
  </si>
  <si>
    <t>INSERT INTO tb_clases VALUES (29,'Ropa','Local de venta de ropa.','logo_com_ropa');</t>
  </si>
  <si>
    <t>INSERT INTO tb_clases VALUES (30,'Seguridad Pública','Servicio de seguridad.','logo_com_seguridad_publica');</t>
  </si>
  <si>
    <t>INSERT INTO tb_clases VALUES (31,'Servicios Médicos','Servicio de Salud.','logo_com_servicios_medicos');</t>
  </si>
  <si>
    <t>INSERT INTO tb_clases VALUES (32,'Dentista','Servicio de Salud.','logo_com_servicios_medicos_dentista');</t>
  </si>
  <si>
    <t>INSERT INTO tb_clases VALUES (33,'Oftalmólogo','Servicio de Salud.','logo_com_servicios_medicos_oftalmologo');</t>
  </si>
  <si>
    <t>INSERT INTO tb_clases VALUES (34,'Servicios Médicos (Toma de Presión)','Servicio de Salud preventiva.','logo_com_servicios_medicos_toma_de_presion');</t>
  </si>
  <si>
    <t>INSERT INTO tb_clases VALUES (39,'Tortería','Local de comida rápida (Tortas).','logo_com_torteria');</t>
  </si>
  <si>
    <t>--------------</t>
  </si>
  <si>
    <t>Instrucciones SQL</t>
  </si>
  <si>
    <t>INSERT INTO tb_propiedades VALUES (1,27,'Dominos Pizza','Pizzeria de marca reconocida, donde podrás encontrar bebidas y otras cosas.','',0);</t>
  </si>
  <si>
    <t>INSERT INTO tb_propiedades VALUES (2,,'','','',0);</t>
  </si>
  <si>
    <t>INSERT INTO tb_propiedades VALUES (3,,'Pizzeria Marios','Es la mejor opción. Economicas y muy ricas.','',0);</t>
  </si>
  <si>
    <t>INSERT INTO tb_propiedades VALUES (4,,'Internet Publico','Internet Publico Gratuito, 1 hora de tiempo para consultar lo que necesites.','',0);</t>
  </si>
  <si>
    <t>INSERT INTO tb_propiedades VALUES (5,,'Internet Gandul','Negocio de internet con la mejor coneccion a un precio razonable.','',0);</t>
  </si>
  <si>
    <t>INSERT INTO tb_propiedades VALUES (6,,'WiFi Prodigy','Acceso WiFi gratuito para usuarios Prodigy Movil.','',0);</t>
  </si>
  <si>
    <t>INSERT INTO tb_propiedades VALUES (7,,'Nutrisa','Tienda naturista y para los antojos, tambien llevate un helado de yogourt. Delicioso.','',0);</t>
  </si>
  <si>
    <t>INSERT INTO tb_propiedades VALUES (8,,'Naturista SA','Tienda donde podrás comprar productos naturistas a buen costo.','',0);</t>
  </si>
  <si>
    <t>INSERT INTO tb_propiedades VALUES (9,3,'Baños Publicos','Esperemos que estén limpios. De lo contrario reportalo al tel 55-xxxxxx.','',0);</t>
  </si>
  <si>
    <t>INSERT INTO tb_propiedades VALUES (10,14,'OXXO','Lo que necesites a cualquier hora.','',0);</t>
  </si>
  <si>
    <t>INSERT INTO tb_propiedades VALUES (11,14,'Abarrotes Don Carlos','Encuentra lo que necesites a precios razonables.','',0);</t>
  </si>
  <si>
    <t>INSERT INTO tb_propiedades VALUES (12,26,'Periodicos x','Compra tus revistas y periodicos para leer mientras viajas.','',0);</t>
  </si>
  <si>
    <t>INSERT INTO tb_propiedades VALUES (13,18,'El buen lector','Para amenizar tu viajecito, compra un libro…','',0);</t>
  </si>
  <si>
    <t>INSERT INTO tb_propiedades VALUES (14,4,'Mc Donnals Café','Los postres que quieras de la marca que ya conoces.','',0);</t>
  </si>
  <si>
    <t>INSERT INTO tb_propiedades VALUES (15,4,'Starbucks','Los cafés mas dulces para endulzar tu trayecto.','',0);</t>
  </si>
  <si>
    <t>INSERT INTO tb_propiedades VALUES (16,12,'Bimbo','Expendio de pan donde encontrarás todo tipo de productos.','',0);</t>
  </si>
  <si>
    <t>INSERT INTO tb_propiedades VALUES (17,14,'Circulo K','Tienda de abarrotes, agua, refrescos, botanas, snacks, galletas, recargas Telcel, etc. Saliendo del pasamanos.','',0);</t>
  </si>
  <si>
    <t>INSERT INTO tb_propiedades VALUES (18,3,'Ahbalam','Sanitarios públicos $4 pesos saliendo del pasamanos','',0);</t>
  </si>
  <si>
    <t>INSERT INTO tb_propiedades VALUES (19,38,'Mexipuerto','Centro comercial que conecta la transferencia entre la estación del metro y la estación del Mexibus (Tiendas de ropa, servicios, hospital, zona de comida, cine) Saliendo del pasamos','',0);</t>
  </si>
  <si>
    <t>INSERT INTO tb_asignaciones VALUES (1,1,6,'Se encuentra en frente de ti... Bueno por ahí.. Buscale',0);</t>
  </si>
  <si>
    <t>INSERT INTO tb_asignaciones VALUES (4,1,6,'Hay un centro de intenet al final del pasillo de la linea.',1);</t>
  </si>
  <si>
    <t>INSERT INTO tb_asignaciones VALUES (13,60,3,'Dentro de la estacion, en el pasillo principal, del lado Izquierdo bajando por las escaleras de Mayorazgo.',1);</t>
  </si>
  <si>
    <t>INSERT INTO tb_asignaciones VALUES (8,60,3,'Dentro de la estacion, en el pasillo principal, del lado Izquierdo bajando por las escaleras de Mayorazgo.',1);</t>
  </si>
  <si>
    <t>INSERT INTO tb_asignaciones VALUES (12,60,3,'Dentro de la estación, en el pasillo principal. Se ve luego luego jaja…',1);</t>
  </si>
  <si>
    <t>INSERT INTO tb_asignaciones VALUES (2,103,1,'La vd no se si exista uno, pero este es mi estacion de pruebas',1);</t>
  </si>
  <si>
    <t>INSERT INTO tb_asignaciones VALUES (1,103,1,'Este debe traer el logo de la empresa',1);</t>
  </si>
  <si>
    <t>INSERT INTO tb_asignaciones VALUES (14,103,1,'De tanta comida ya me dio hambre',1);</t>
  </si>
  <si>
    <t>INSERT INTO tb_asignaciones VALUES (19,102,11,'Centro comercial que conecta la transferencia entre la estación del metro y la estación del Mexibus (Tiendas de ropa, servicios, hospital, zona de comida, cine) Saliendo del pasamos',1);</t>
  </si>
  <si>
    <t>INSERT INTO tb_asignaciones VALUES (16,102,11,'Pan de barra, pan dulce, galletas, etc.',1);</t>
  </si>
  <si>
    <t>INSERT INTO tb_asignaciones VALUES (17,102,11,'Tienda de abarrotes, agua, refrescos, botanas, snacks, galletas, recargas Telcel, etc. Saliendo del pasamanos',1);</t>
  </si>
  <si>
    <t>INSERT INTO tb_asignaciones VALUES (18,102,11,'Sanitarios públicos $4 pesos saliendo del pasamanos',1);</t>
  </si>
  <si>
    <t>des_corta</t>
  </si>
  <si>
    <t>des_larga</t>
  </si>
  <si>
    <t>Ciudad Azteca, Jeroglifico, ciudad azteca, jeroglifico, tenochtitlan, tenoctitlan, tenochtitlán, Ecatepec, ecatepec.</t>
  </si>
  <si>
    <t>Salida Norte: Esquina Norte de Avenida Central y Boulevard de los Remedios.</t>
  </si>
  <si>
    <t>Salida NorOriente: Esquina Nororiente de Avenida Central y Boulevard de los Remedios.</t>
  </si>
  <si>
    <t>Salida Sur: Esquina Sur de Avenida Central y Boulevard de los Remedios.</t>
  </si>
  <si>
    <t>INSERT INTO tb_referencias VALUES (3,102,'Salida Norte: Esquina Norte de Avenida Central y Boulevard de los Remedios.','');</t>
  </si>
  <si>
    <t>INSERT INTO tb_referencias VALUES (4,102,'Salida NorOriente: Esquina Nororiente de Avenida Central y Boulevard de los Remedios.','');</t>
  </si>
  <si>
    <t>INSERT INTO tb_referencias VALUES (5,102,'Salida Sur: Esquina Sur de Avenida Central y Boulevard de los Remedios.','');</t>
  </si>
  <si>
    <t>Salida Norte: Avenida Central y Valle de Santiago Colonia Jardines de Aragón.</t>
  </si>
  <si>
    <t>Logo : El ícono de la estación, es el icono utilizado por los aztecas para representar la ciudad de Tenochtitlán.</t>
  </si>
  <si>
    <t>Curiosidades : Es uno de los 99 fraccionamientos que se encuentran en el municipio de Ecatepec y está conformado por tres secciones, ubicado al noreste, casi al límite con el municipio de Atenco. En esta colonia se encuentra cerca el depósito de evaporación solar "El Caracol", principal fuente de agua en el municipio; es uno de los últimos depósitos de agua del lago de Texcoco.</t>
  </si>
  <si>
    <t>Logo : El ícono de la estación es un puesto de tianguis en referencia a la plaza del mismo nombre.</t>
  </si>
  <si>
    <t>Logo : El ícono de la estación representa losaros que simbolizan al movimiento olímpico internacional.</t>
  </si>
  <si>
    <t>Curiosidades : El nombre original de la estación fue Tecnológico. El ícono que distinguía a la estación era el emblema del Tecnológico de Estudios Superiores de Ecatepec cuyas instalaciones se encuentran en las proximidades. El 23 de julio de 2008, Francisco Bojórquez Hernández, director del Sistema de Transporte Colectivo-Metro, y José Luis Gutiérrez Cureño, presidente municipal de Ecatepec, establecieron mediante un acuerdo una serie de acciones para mejorar la seguridad, calidad y eficacia del servicio. Como parte del acuerdo se estableció cambiar el nombre e iconografía de la estación a partir del 25 de agosto de 2008.</t>
  </si>
  <si>
    <t>Logo : El ícono de la estación es la silueta del presidente Melchor Múzquiz.</t>
  </si>
  <si>
    <t>Logo : El ícono de la estación es un velero con una corona.</t>
  </si>
  <si>
    <t>Curiosidades : Durante la temporada de lluvias, y debido a su cercanía a un canal de aguas negras, cuando hay lluvias fuertes el agua rebasa la barra guía electrificada, por lo que el servicio tiene que ser suspendido.</t>
  </si>
  <si>
    <t>Logo :  Su ícono es una carreta agrícola y un casco de hacienda al fondo.</t>
  </si>
  <si>
    <t>Logo : Su ícono es el glifo de dicho municipio.</t>
  </si>
  <si>
    <t>Curiosidades : Hasta el año 2002, el nombre de la estación fue Continentes y tuvo como ícono un mapamundi de tipo Mollweide; a partir de ese año, la estación es conocida con su nombre y logotipo actuales.</t>
  </si>
  <si>
    <t>Logo : El icono de la estación es de un conjunto de casas haciendo referencia a la colonia o a una villa.</t>
  </si>
  <si>
    <t>Logo : El ícono de la estación es un koala y un balón, que representan el deportivo y el continente en donde habita el koala.</t>
  </si>
  <si>
    <t>Logo : El ícono de la estación tiene un canguro, que alude al nombre de la estación (Oceanía), pues es en aquel continente donde existen estos animales.</t>
  </si>
  <si>
    <t>Logo : El ícono de la estación es el busto de Ricardo Flores Magón, periodista anarquista precursor de la Revolución mexicana.</t>
  </si>
  <si>
    <t>Logo : El ícono de la estación, representa a una locomotora de vapor ya que en ese lugar se encontraba la antigua terminal de ferrocarriles de San Lázaro.</t>
  </si>
  <si>
    <t>Logo : El ícono de la estación es la silueta de Jose Maria Morelos y Pavón, héroe de la Independencia de México. Esta estación es la única que tiene dos versiones de su emblema, el propio de la estación y otra versión que muestra el rostro de Morelos en 3/4 de perfil, ambos emblemas están inspirados en el rostro de Morelos que aparecía en las antiguas monedas de 1 pesos de años 80's. La segunda versión se encuentra únicamente en los alrededores de la estación.</t>
  </si>
  <si>
    <t>Logo : Su símbolo es un pato o ganso, ya que en el lago anidaban estos tipos de aves antes de la conquista.</t>
  </si>
  <si>
    <t>Logo : El ícono de la estación está formado por una guitarra y un sarape, que rememora al Mariachi, por lo que es famosa la  Plaza Garibaldi.</t>
  </si>
  <si>
    <t>Logo : El ícono de la estación es el busto del Gral. Vicente Guerrero, héroe de la Independencia de México y segundo Presidente de la República Mexicana.</t>
  </si>
  <si>
    <t>Logo : El ícono de la estación, es la parte de en frente de una locomotora que hace alusión a la Estación de Ferrocarriles Buenavista que se encuentra en esa zona y que actualmente es la terminal del Tren Suburbano.</t>
  </si>
  <si>
    <t>Salida</t>
  </si>
  <si>
    <t>Salida SurOriente: Esquina Suroriente de Avenida Central y Boulevard de los Remedios.</t>
  </si>
  <si>
    <t>Salida Norte: Avenida Central e Ignacio Zaragoza Colonia Ignacio Allende.</t>
  </si>
  <si>
    <t>Salida Sur: Avenida Central y Avenida Cegor Colonia Valle de Santiago.</t>
  </si>
  <si>
    <t>Salida Norte: Avenida Central y Calle Ciudad Azteca Colonia U. H. La Alborada.</t>
  </si>
  <si>
    <t>Salida Sur: Avenida Central y Calle Sor Juana Inés de la Cruz Colonia Valle de Anáhuac sección A.</t>
  </si>
  <si>
    <t>Salida Norte: Avenida Central y Valle del Guadiana.</t>
  </si>
  <si>
    <t>Salida Nororiente: Avenida Central y Valle del Henares.</t>
  </si>
  <si>
    <t>Salida Sur: Avenida Central y Valle del Guadiana.</t>
  </si>
  <si>
    <t>Salida Suroriente: Avenida Central y Valle del Guadiana.</t>
  </si>
  <si>
    <t>Salida Norte: Avenida Central y Anillo Periférico.</t>
  </si>
  <si>
    <t>Salida Sur: Avenida Central y Boulevard Río de los Remedios.</t>
  </si>
  <si>
    <t>Salida Norte: Avenida Central y Hacienda de Pasteje.</t>
  </si>
  <si>
    <t>Salida Nororiente: Avenida Central y Hacienda de la Noria.</t>
  </si>
  <si>
    <t>Salida Sur: Avenida Central y Avenida Cinco Colonia La Impulsora.</t>
  </si>
  <si>
    <t>Salida Suroriente: Avenida Central y Avenida Cinco Colonia Campestre Guadalupana.</t>
  </si>
  <si>
    <t>Salida Norte: Avenida Central y Boulevard de los Continentes.</t>
  </si>
  <si>
    <t>Salida Sororiente: Avenida Central y Boulevard de los Continentes.</t>
  </si>
  <si>
    <t>Salida Sur: Avenida Central y Avenida Jorge Jiménez Cantú.</t>
  </si>
  <si>
    <t>Salida Suroriente: Avenida Central y Avenida Jorge Jiménez Cantú.</t>
  </si>
  <si>
    <t>Salida Oriente: Avenida 608, casi esquina Avenida 412.</t>
  </si>
  <si>
    <t>Salida Poniente: Avenida 412 y 6ª sección de San Juan de Aragón.</t>
  </si>
  <si>
    <t>Salida Oriente: Avenida 608 esquina Avenida 613.</t>
  </si>
  <si>
    <t>Salida Poniente: Avenida 608 junto Bosque de Aragón.</t>
  </si>
  <si>
    <t>Salida Oriente: Avenida 608, casi esquina con Avenida 602.</t>
  </si>
  <si>
    <t>Salida Poniente: Avenida 608 entre Avenida 565 y José Loreto Fabela.</t>
  </si>
  <si>
    <t>Salida Por línea 5 al Norte: Norte 174, esquina Río Blanco.</t>
  </si>
  <si>
    <t>Salida Por línea 5 al Suroriente: Avenida Río Consulado.</t>
  </si>
  <si>
    <t>Salida Por línea B al Norte: Avenida Río Consulado y Norte 170.</t>
  </si>
  <si>
    <t>Salida Por línea B al Sur: Avenida Oceanía y Dinares, Colonia Aquiles Serdán.</t>
  </si>
  <si>
    <t>Salida Oriente: Avenida del Peñón y Oriente 158, Colonia Moctezuma.</t>
  </si>
  <si>
    <t>Salida Poniente: Calle Marruecos Colonia Romero Rubio.</t>
  </si>
  <si>
    <t>Salida Norponiente: Avenida Oceanía, Colonia Moctezuma, 2ª sección.</t>
  </si>
  <si>
    <t>Salida Nororiente: Avenida Oceanía y Norte 24, Colonia Moctezuma 2a. sección.</t>
  </si>
  <si>
    <t>Salida Surponiente: Avenida Oceanía y General Francisco Murgía Colonia Revolución.</t>
  </si>
  <si>
    <t>Salida Suroriente: Avenida Oceanía y General Bonifacio Salinas Colonia Revolución.</t>
  </si>
  <si>
    <t>Salida Por línea 1 al Surponiente: Avenida Zaragoza y Eje 3 Poniente Colonia 10 de Mayo</t>
  </si>
  <si>
    <t>Salida Por línea 1 al Suroriente: Salida a Terminal de la Tapo Colonia 10 de Mayo</t>
  </si>
  <si>
    <t>Salida Por línea B al Norte: Avenida Ing. Eduardo Molina, Colonia 7 de julio.</t>
  </si>
  <si>
    <t>Salida Por línea 4 al Oriente: Avenida Congreso de la Unión, esquina Herreros.</t>
  </si>
  <si>
    <t>Salida Por línea 4 al Poniente: Avenida Congreso de la Unión, esquina Herreros.</t>
  </si>
  <si>
    <t>Salida Por línea B al Norte: Eje 1 Norte y Hojalatería.</t>
  </si>
  <si>
    <t>Salida Por línea B al Suroriente: Nacional y Eje 1 Norte.</t>
  </si>
  <si>
    <t>Salida Suroriente: Eje 1 Norte y Eje 1 Oriente.</t>
  </si>
  <si>
    <t>Salida Norponiente: Eje 1 Norte y Manuel Doblado.</t>
  </si>
  <si>
    <t>Salida Surponiente: Eje 1 Norte y Manuel Doblado.</t>
  </si>
  <si>
    <t>Salida Nororiente: Eje 1 Norte, casi esquina con Jesús Carranza Colonia Morelos.</t>
  </si>
  <si>
    <t>Salida Suroriente: Eje 1 Norte casi esquina con República de Argentina Colonia Centro.</t>
  </si>
  <si>
    <t>Salida Norponiente: Eje 1 Norte, casi esquina con República de Brasil Colonia Centro.</t>
  </si>
  <si>
    <t>Salida Surponiente: Eje 1 Norte, casi esquina con República de Brasil Colonia Centro.</t>
  </si>
  <si>
    <t>Salida Por línea 8 al Nororiente: Avenida Reforma y Eje 1 Norte Rayón Colonia Guerrero.</t>
  </si>
  <si>
    <t>Salida Por línea 8 al Suroriente: Avenida Reforma y Rayón Colonia Guerrero.</t>
  </si>
  <si>
    <t>Salida Por línea 8 al Norponiente: Avenida Reforma y Mosqueta Colonia Centro.</t>
  </si>
  <si>
    <t>Salida Por línea 8 al Nororiente: Eje Central y Reforma Colonia Morelos.</t>
  </si>
  <si>
    <t>Salida Por línea B al Norte: Eje 1 Norte Colonia Morelos.</t>
  </si>
  <si>
    <t>Salida Por línea B al Sur: Eje 1 Norte, calle Allende Sur Colonia Morelos.</t>
  </si>
  <si>
    <t>Salida Por línea 3 al Oriente: Zarco y Eje 1 Norte.</t>
  </si>
  <si>
    <t>Salida Por línea 3 al Poniente: Zarzo y Eje 1 Norte.</t>
  </si>
  <si>
    <t>Salida Por línea B al Nororiente: Eje 1 Norte, casi esquina con Héroes.</t>
  </si>
  <si>
    <t>Salida Por línea B al Suroriente: Eje 1 Norte, casi esquina con Héroes.</t>
  </si>
  <si>
    <t>Salida Por línea B al Norponiente: Eje 1 Norte, casi esquina con Guerrero.</t>
  </si>
  <si>
    <t>Salida Por línea B al Surponiente: Eje 1 Norte, casi esquina con Guerrero.</t>
  </si>
  <si>
    <t>Salida Nororiente: Eje 1 Norte, Mosqueta e Insurgentes Colonia Buenavista.</t>
  </si>
  <si>
    <t>Salida Suroriente: Eje 1 Norte, Mosqueta y Jesús García Colonia Buenavista.</t>
  </si>
  <si>
    <t>Salida Norponiente: Eje 1 Norte, Mosqueta e Insurgentes Colonia Buenavista.</t>
  </si>
  <si>
    <t>Salida Surponiente: Eje 1 Norte, Mosqueta e Insurgentes Colonia Buenavista.</t>
  </si>
  <si>
    <t>Referencias</t>
  </si>
  <si>
    <t>Terminal Multimodal Azteca Bicentenario,</t>
  </si>
  <si>
    <t>INSERT INTO tb_adyacencias VALUES (103,16,1,1,1,160);</t>
  </si>
  <si>
    <t>INSERT INTO tb_adyacencias VALUES (16,103,1,2,1,210);</t>
  </si>
  <si>
    <t>INSERT INTO tb_adyacencias VALUES (16,104,1,1,1,175);</t>
  </si>
  <si>
    <t>INSERT INTO tb_adyacencias VALUES (104,16,1,2,1,180);</t>
  </si>
  <si>
    <t>INSERT INTO tb_adyacencias VALUES (104,105,1,1,1,170);</t>
  </si>
  <si>
    <t>INSERT INTO tb_adyacencias VALUES (105,104,1,2,1,170);</t>
  </si>
  <si>
    <t>INSERT INTO tb_adyacencias VALUES (105,106,1,1,1,140);</t>
  </si>
  <si>
    <t>INSERT INTO tb_adyacencias VALUES (106,105,1,2,1,140);</t>
  </si>
  <si>
    <t>INSERT INTO tb_adyacencias VALUES (106,107,1,1,1,150);</t>
  </si>
  <si>
    <t>INSERT INTO tb_adyacencias VALUES (107,106,1,2,1,150);</t>
  </si>
  <si>
    <t>INSERT INTO tb_adyacencias VALUES (107,108,1,1,1,160);</t>
  </si>
  <si>
    <t>INSERT INTO tb_adyacencias VALUES (108,107,1,2,1,160);</t>
  </si>
  <si>
    <t>INSERT INTO tb_adyacencias VALUES (108,17,1,1,1,140);</t>
  </si>
  <si>
    <t>INSERT INTO tb_adyacencias VALUES (17,108,1,2,1,140);</t>
  </si>
  <si>
    <t>INSERT INTO tb_adyacencias VALUES (17,18,1,1,1,145);</t>
  </si>
  <si>
    <t>INSERT INTO tb_adyacencias VALUES (18,17,1,2,1,150);</t>
  </si>
  <si>
    <t>INSERT INTO tb_adyacencias VALUES (18,109,1,1,1,145);</t>
  </si>
  <si>
    <t>INSERT INTO tb_adyacencias VALUES (109,18,1,2,1,140);</t>
  </si>
  <si>
    <t>INSERT INTO tb_adyacencias VALUES (109,19,1,1,1,140);</t>
  </si>
  <si>
    <t>INSERT INTO tb_adyacencias VALUES (19,109,1,2,1,145);</t>
  </si>
  <si>
    <t>INSERT INTO tb_adyacencias VALUES (19,110,1,1,1,170);</t>
  </si>
  <si>
    <t>INSERT INTO tb_adyacencias VALUES (110,19,1,2,1,165);</t>
  </si>
  <si>
    <t>INSERT INTO tb_adyacencias VALUES (110,20,1,1,1,155);</t>
  </si>
  <si>
    <t>INSERT INTO tb_adyacencias VALUES (20,110,1,2,1,155);</t>
  </si>
  <si>
    <t>INSERT INTO tb_adyacencias VALUES (20,11,1,1,1,170);</t>
  </si>
  <si>
    <t>INSERT INTO tb_adyacencias VALUES (11,20,1,2,1,170);</t>
  </si>
  <si>
    <t>INSERT INTO tb_adyacencias VALUES (11,111,1,1,1,150);</t>
  </si>
  <si>
    <t>INSERT INTO tb_adyacencias VALUES (111,11,1,2,1,140);</t>
  </si>
  <si>
    <t>INSERT INTO tb_adyacencias VALUES (111,112,1,1,1,155);</t>
  </si>
  <si>
    <t>INSERT INTO tb_adyacencias VALUES (112,111,1,2,1,155);</t>
  </si>
  <si>
    <t>INSERT INTO tb_adyacencias VALUES (112,113,1,1,1,145);</t>
  </si>
  <si>
    <t>INSERT INTO tb_adyacencias VALUES (113,112,1,2,1,145);</t>
  </si>
  <si>
    <t>INSERT INTO tb_adyacencias VALUES (113,114,1,1,1,150);</t>
  </si>
  <si>
    <t>INSERT INTO tb_adyacencias VALUES (114,113,1,2,1,150);</t>
  </si>
  <si>
    <t>INSERT INTO tb_adyacencias VALUES (114,115,1,1,1,165);</t>
  </si>
  <si>
    <t>INSERT INTO tb_adyacencias VALUES (115,114,1,2,1,155);</t>
  </si>
  <si>
    <t>INSERT INTO tb_adyacencias VALUES (115,12,1,1,1,230);</t>
  </si>
  <si>
    <t>INSERT INTO tb_adyacencias VALUES (12,115,1,2,1,180);</t>
  </si>
  <si>
    <t>INSERT INTO tb_adyacencias VALUES (69,70,2,1,1,205);</t>
  </si>
  <si>
    <t>INSERT INTO tb_adyacencias VALUES (70,69,2,2,1,265);</t>
  </si>
  <si>
    <t>INSERT INTO tb_adyacencias VALUES (70,13,2,1,1,190);</t>
  </si>
  <si>
    <t>INSERT INTO tb_adyacencias VALUES (13,70,2,1,1,195);</t>
  </si>
  <si>
    <t>INSERT INTO tb_adyacencias VALUES (13,71,2,1,1,160);</t>
  </si>
  <si>
    <t>INSERT INTO tb_adyacencias VALUES (71,13,2,2,1,155);</t>
  </si>
  <si>
    <t>INSERT INTO tb_adyacencias VALUES (71,72,2,1,1,140);</t>
  </si>
  <si>
    <t>INSERT INTO tb_adyacencias VALUES (72,71,2,2,1,140);</t>
  </si>
  <si>
    <t>INSERT INTO tb_adyacencias VALUES (72,73,2,1,1,135);</t>
  </si>
  <si>
    <t>INSERT INTO tb_adyacencias VALUES (73,72,2,2,1,135);</t>
  </si>
  <si>
    <t>INSERT INTO tb_adyacencias VALUES (73,74,2,1,1,140);</t>
  </si>
  <si>
    <t>INSERT INTO tb_adyacencias VALUES (74,73,2,2,1,140);</t>
  </si>
  <si>
    <t>INSERT INTO tb_adyacencias VALUES (74,75,2,1,1,145);</t>
  </si>
  <si>
    <t>INSERT INTO tb_adyacencias VALUES (75,74,2,2,1,145);</t>
  </si>
  <si>
    <t>INSERT INTO tb_adyacencias VALUES (75,76,2,1,1,135);</t>
  </si>
  <si>
    <t>INSERT INTO tb_adyacencias VALUES (76,75,2,2,1,140);</t>
  </si>
  <si>
    <t>INSERT INTO tb_adyacencias VALUES (76,14,2,1,1,145);</t>
  </si>
  <si>
    <t>INSERT INTO tb_adyacencias VALUES (14,76,2,2,1,150);</t>
  </si>
  <si>
    <t>INSERT INTO tb_adyacencias VALUES (14,15,2,1,1,140);</t>
  </si>
  <si>
    <t>INSERT INTO tb_adyacencias VALUES (15,14,2,2,1,135);</t>
  </si>
  <si>
    <t>INSERT INTO tb_adyacencias VALUES (15,77,2,1,1,135);</t>
  </si>
  <si>
    <t>INSERT INTO tb_adyacencias VALUES (77,15,2,2,1,135);</t>
  </si>
  <si>
    <t>INSERT INTO tb_adyacencias VALUES (77,78,2,1,1,150);</t>
  </si>
  <si>
    <t>INSERT INTO tb_adyacencias VALUES (78,77,2,2,1,160);</t>
  </si>
  <si>
    <t>INSERT INTO tb_adyacencias VALUES (78,19,2,1,1,165);</t>
  </si>
  <si>
    <t>INSERT INTO tb_adyacencias VALUES (19,78,2,2,1,160);</t>
  </si>
  <si>
    <t>INSERT INTO tb_adyacencias VALUES (19,79,2,1,1,180);</t>
  </si>
  <si>
    <t>INSERT INTO tb_adyacencias VALUES (79,19,2,2,1,165);</t>
  </si>
  <si>
    <t>INSERT INTO tb_adyacencias VALUES (79,22,2,1,1,140);</t>
  </si>
  <si>
    <t>INSERT INTO tb_adyacencias VALUES (22,79,2,2,1,145);</t>
  </si>
  <si>
    <t>INSERT INTO tb_adyacencias VALUES (22,80,2,1,1,155);</t>
  </si>
  <si>
    <t>INSERT INTO tb_adyacencias VALUES (80,22,2,2,1,150);</t>
  </si>
  <si>
    <t>INSERT INTO tb_adyacencias VALUES (80,81,2,1,1,140);</t>
  </si>
  <si>
    <t>INSERT INTO tb_adyacencias VALUES (81,80,2,2,1,140);</t>
  </si>
  <si>
    <t>INSERT INTO tb_adyacencias VALUES (81,82,2,1,1,145);</t>
  </si>
  <si>
    <t>INSERT INTO tb_adyacencias VALUES (82,81,2,2,1,145);</t>
  </si>
  <si>
    <t>INSERT INTO tb_adyacencias VALUES (82,83,2,1,1,150);</t>
  </si>
  <si>
    <t>INSERT INTO tb_adyacencias VALUES (83,82,2,2,1,150);</t>
  </si>
  <si>
    <t>INSERT INTO tb_adyacencias VALUES (83,84,2,1,1,160);</t>
  </si>
  <si>
    <t>INSERT INTO tb_adyacencias VALUES (84,83,2,2,1,160);</t>
  </si>
  <si>
    <t>INSERT INTO tb_adyacencias VALUES (84,147,2,1,1,150);</t>
  </si>
  <si>
    <t>INSERT INTO tb_adyacencias VALUES (85,147,2,2,1,155);</t>
  </si>
  <si>
    <t>INSERT INTO tb_adyacencias VALUES (85,86,2,1,1,245);</t>
  </si>
  <si>
    <t>INSERT INTO tb_adyacencias VALUES (86,85,2,2,1,175);</t>
  </si>
  <si>
    <t>INSERT INTO tb_adyacencias VALUES (147,84,2,1,1,150);</t>
  </si>
  <si>
    <t>INSERT INTO tb_adyacencias VALUES (147,85,2,2,1,160);</t>
  </si>
  <si>
    <t>INSERT INTO tb_adyacencias VALUES (51,3,3,1,1,175);</t>
  </si>
  <si>
    <t>INSERT INTO tb_adyacencias VALUES (3,51,3,2,1,220);</t>
  </si>
  <si>
    <t>INSERT INTO tb_adyacencias VALUES (3,52,3,1,1,180);</t>
  </si>
  <si>
    <t>INSERT INTO tb_adyacencias VALUES (52,3,3,2,1,175);</t>
  </si>
  <si>
    <t>INSERT INTO tb_adyacencias VALUES (52,5,3,1,1,180);</t>
  </si>
  <si>
    <t>INSERT INTO tb_adyacencias VALUES (5,52,3,2,1,185);</t>
  </si>
  <si>
    <t>INSERT INTO tb_adyacencias VALUES (5,53,3,1,1,225);</t>
  </si>
  <si>
    <t>INSERT INTO tb_adyacencias VALUES (53,5,3,2,1,215);</t>
  </si>
  <si>
    <t>INSERT INTO tb_adyacencias VALUES (53,8,3,1,1,175);</t>
  </si>
  <si>
    <t>INSERT INTO tb_adyacencias VALUES (8,53,3,2,1,180);</t>
  </si>
  <si>
    <t>INSERT INTO tb_adyacencias VALUES (8,14,3,1,1,160);</t>
  </si>
  <si>
    <t>INSERT INTO tb_adyacencias VALUES (14,8,3,2,1,160);</t>
  </si>
  <si>
    <t>INSERT INTO tb_adyacencias VALUES (14,54,3,1,1,140);</t>
  </si>
  <si>
    <t>INSERT INTO tb_adyacencias VALUES (54,14,3,2,1,135);</t>
  </si>
  <si>
    <t>INSERT INTO tb_adyacencias VALUES (54,17,3,1,1,165);</t>
  </si>
  <si>
    <t>INSERT INTO tb_adyacencias VALUES (17,54,3,2,1,165);</t>
  </si>
  <si>
    <t>INSERT INTO tb_adyacencias VALUES (17,55,3,1,1,160);</t>
  </si>
  <si>
    <t>INSERT INTO tb_adyacencias VALUES (55,17,3,2,1,150);</t>
  </si>
  <si>
    <t>INSERT INTO tb_adyacencias VALUES (55,56,3,1,1,150);</t>
  </si>
  <si>
    <t>INSERT INTO tb_adyacencias VALUES (56,55,3,2,1,155);</t>
  </si>
  <si>
    <t>INSERT INTO tb_adyacencias VALUES (56,21,3,1,1,165);</t>
  </si>
  <si>
    <t>INSERT INTO tb_adyacencias VALUES (21,56,3,2,1,170);</t>
  </si>
  <si>
    <t>INSERT INTO tb_adyacencias VALUES (21,57,3,1,1,185);</t>
  </si>
  <si>
    <t>INSERT INTO tb_adyacencias VALUES (57,21,3,2,1,200);</t>
  </si>
  <si>
    <t>INSERT INTO tb_adyacencias VALUES (57,58,3,1,1,165);</t>
  </si>
  <si>
    <t>INSERT INTO tb_adyacencias VALUES (58,57,3,2,1,165);</t>
  </si>
  <si>
    <t>INSERT INTO tb_adyacencias VALUES (58,59,3,1,1,155);</t>
  </si>
  <si>
    <t>INSERT INTO tb_adyacencias VALUES (59,58,3,2,1,165);</t>
  </si>
  <si>
    <t>INSERT INTO tb_adyacencias VALUES (59,146,3,1,1,170);</t>
  </si>
  <si>
    <t>INSERT INTO tb_adyacencias VALUES (60,146,3,2,1,180);</t>
  </si>
  <si>
    <t>INSERT INTO tb_adyacencias VALUES (60,61,3,1,1,165);</t>
  </si>
  <si>
    <t>INSERT INTO tb_adyacencias VALUES (61,60,3,2,1,165);</t>
  </si>
  <si>
    <t>INSERT INTO tb_adyacencias VALUES (61,62,3,1,1,160);</t>
  </si>
  <si>
    <t>INSERT INTO tb_adyacencias VALUES (62,61,3,2,1,170);</t>
  </si>
  <si>
    <t>INSERT INTO tb_adyacencias VALUES (62,63,3,1,1,195);</t>
  </si>
  <si>
    <t>INSERT INTO tb_adyacencias VALUES (63,62,3,2,1,200);</t>
  </si>
  <si>
    <t>INSERT INTO tb_adyacencias VALUES (63,64,3,1,1,230);</t>
  </si>
  <si>
    <t>INSERT INTO tb_adyacencias VALUES (64,63,3,2,1,185);</t>
  </si>
  <si>
    <t>INSERT INTO tb_adyacencias VALUES (146,59,3,1,1,165);</t>
  </si>
  <si>
    <t>INSERT INTO tb_adyacencias VALUES (146,60,3,2,1,190);</t>
  </si>
  <si>
    <t>INSERT INTO tb_adyacencias VALUES (4,65,4,1,1,160);</t>
  </si>
  <si>
    <t>INSERT INTO tb_adyacencias VALUES (65,4,4,2,1,190);</t>
  </si>
  <si>
    <t>INSERT INTO tb_adyacencias VALUES (65,66,4,1,1,165);</t>
  </si>
  <si>
    <t>INSERT INTO tb_adyacencias VALUES (66,65,4,2,1,165);</t>
  </si>
  <si>
    <t>INSERT INTO tb_adyacencias VALUES (66,6,4,1,1,155);</t>
  </si>
  <si>
    <t>INSERT INTO tb_adyacencias VALUES (6,66,4,2,1,155);</t>
  </si>
  <si>
    <t>INSERT INTO tb_adyacencias VALUES (6,67,4,1,1,170);</t>
  </si>
  <si>
    <t>INSERT INTO tb_adyacencias VALUES (67,6,4,2,1,170);</t>
  </si>
  <si>
    <t>INSERT INTO tb_adyacencias VALUES (67,10,4,1,1,155);</t>
  </si>
  <si>
    <t>INSERT INTO tb_adyacencias VALUES (10,67,4,2,1,175);</t>
  </si>
  <si>
    <t>INSERT INTO tb_adyacencias VALUES (10,20,4,1,1,175);</t>
  </si>
  <si>
    <t>INSERT INTO tb_adyacencias VALUES (20,10,4,2,1,175);</t>
  </si>
  <si>
    <t>INSERT INTO tb_adyacencias VALUES (20,68,4,1,1,150);</t>
  </si>
  <si>
    <t>INSERT INTO tb_adyacencias VALUES (68,20,4,2,1,150);</t>
  </si>
  <si>
    <t>INSERT INTO tb_adyacencias VALUES (68,23,4,1,1,155);</t>
  </si>
  <si>
    <t>INSERT INTO tb_adyacencias VALUES (23,68,4,2,1,160);</t>
  </si>
  <si>
    <t>INSERT INTO tb_adyacencias VALUES (23,24,4,1,1,180);</t>
  </si>
  <si>
    <t>INSERT INTO tb_adyacencias VALUES (24,23,4,2,1,135);</t>
  </si>
  <si>
    <t>INSERT INTO tb_adyacencias VALUES (43,2,5,1,1,175);</t>
  </si>
  <si>
    <t>INSERT INTO tb_adyacencias VALUES (2,43,5,2,1,130);</t>
  </si>
  <si>
    <t>INSERT INTO tb_adyacencias VALUES (2,44,5,1,1,165);</t>
  </si>
  <si>
    <t>INSERT INTO tb_adyacencias VALUES (44,2,5,2,1,170);</t>
  </si>
  <si>
    <t>INSERT INTO tb_adyacencias VALUES (44,5,5,1,1,165);</t>
  </si>
  <si>
    <t>INSERT INTO tb_adyacencias VALUES (5,44,5,2,1,170);</t>
  </si>
  <si>
    <t>INSERT INTO tb_adyacencias VALUES (5,45,5,1,1,160);</t>
  </si>
  <si>
    <t>INSERT INTO tb_adyacencias VALUES (45,5,5,2,1,160);</t>
  </si>
  <si>
    <t>INSERT INTO tb_adyacencias VALUES (45,46,5,1,1,160);</t>
  </si>
  <si>
    <t>INSERT INTO tb_adyacencias VALUES (46,45,5,2,1,155);</t>
  </si>
  <si>
    <t>INSERT INTO tb_adyacencias VALUES (46,6,5,1,1,145);</t>
  </si>
  <si>
    <t>INSERT INTO tb_adyacencias VALUES (6,46,5,2,1,160);</t>
  </si>
  <si>
    <t>INSERT INTO tb_adyacencias VALUES (6,47,5,1,1,165);</t>
  </si>
  <si>
    <t>INSERT INTO tb_adyacencias VALUES (47,6,5,2,1,165);</t>
  </si>
  <si>
    <t>INSERT INTO tb_adyacencias VALUES (47,48,5,1,1,160);</t>
  </si>
  <si>
    <t>INSERT INTO tb_adyacencias VALUES (48,47,5,2,1,165);</t>
  </si>
  <si>
    <t>INSERT INTO tb_adyacencias VALUES (48,7,5,1,1,180);</t>
  </si>
  <si>
    <t>INSERT INTO tb_adyacencias VALUES (7,48,5,2,1,185);</t>
  </si>
  <si>
    <t>INSERT INTO tb_adyacencias VALUES (7,49,5,1,1,180);</t>
  </si>
  <si>
    <t>INSERT INTO tb_adyacencias VALUES (49,7,5,2,1,190);</t>
  </si>
  <si>
    <t>INSERT INTO tb_adyacencias VALUES (49,50,5,1,1,170);</t>
  </si>
  <si>
    <t>INSERT INTO tb_adyacencias VALUES (50,49,5,2,1,175);</t>
  </si>
  <si>
    <t>INSERT INTO tb_adyacencias VALUES (50,12,5,1,1,220);</t>
  </si>
  <si>
    <t>INSERT INTO tb_adyacencias VALUES (12,50,5,2,1,205);</t>
  </si>
  <si>
    <t>INSERT INTO tb_adyacencias VALUES (1,25,6,1,1,190);</t>
  </si>
  <si>
    <t>INSERT INTO tb_adyacencias VALUES (25,1,6,2,1,220);</t>
  </si>
  <si>
    <t>INSERT INTO tb_adyacencias VALUES (25,26,6,1,1,170);</t>
  </si>
  <si>
    <t>INSERT INTO tb_adyacencias VALUES (26,25,6,2,1,175);</t>
  </si>
  <si>
    <t>INSERT INTO tb_adyacencias VALUES (26,27,6,1,1,180);</t>
  </si>
  <si>
    <t>INSERT INTO tb_adyacencias VALUES (27,26,6,2,1,180);</t>
  </si>
  <si>
    <t>INSERT INTO tb_adyacencias VALUES (27,28,6,1,1,170);</t>
  </si>
  <si>
    <t>INSERT INTO tb_adyacencias VALUES (28,27,6,2,1,175);</t>
  </si>
  <si>
    <t>INSERT INTO tb_adyacencias VALUES (28,29,6,1,1,150);</t>
  </si>
  <si>
    <t>INSERT INTO tb_adyacencias VALUES (29,28,6,2,1,150);</t>
  </si>
  <si>
    <t>INSERT INTO tb_adyacencias VALUES (29,2,6,1,1,160);</t>
  </si>
  <si>
    <t>INSERT INTO tb_adyacencias VALUES (2,29,6,2,1,155);</t>
  </si>
  <si>
    <t>INSERT INTO tb_adyacencias VALUES (2,30,6,1,1,180);</t>
  </si>
  <si>
    <t>INSERT INTO tb_adyacencias VALUES (30,2,6,2,1,185);</t>
  </si>
  <si>
    <t>INSERT INTO tb_adyacencias VALUES (30,3,6,1,1,170);</t>
  </si>
  <si>
    <t>INSERT INTO tb_adyacencias VALUES (3,30,6,2,1,170);</t>
  </si>
  <si>
    <t>INSERT INTO tb_adyacencias VALUES (3,31,6,1,1,140);</t>
  </si>
  <si>
    <t>INSERT INTO tb_adyacencias VALUES (31,3,6,2,1,150);</t>
  </si>
  <si>
    <t>INSERT INTO tb_adyacencias VALUES (31,4,6,1,1,190);</t>
  </si>
  <si>
    <t>INSERT INTO tb_adyacencias VALUES (4,31,6,2,1,160);</t>
  </si>
  <si>
    <t>INSERT INTO tb_adyacencias VALUES (1,32,7,1,1,200);</t>
  </si>
  <si>
    <t>INSERT INTO tb_adyacencias VALUES (32,1,7,2,1,235);</t>
  </si>
  <si>
    <t>INSERT INTO tb_adyacencias VALUES (32,33,7,1,1,190);</t>
  </si>
  <si>
    <t>INSERT INTO tb_adyacencias VALUES (33,32,7,2,1,190);</t>
  </si>
  <si>
    <t>INSERT INTO tb_adyacencias VALUES (33,34,7,1,1,160);</t>
  </si>
  <si>
    <t>INSERT INTO tb_adyacencias VALUES (34,33,7,2,1,165);</t>
  </si>
  <si>
    <t>INSERT INTO tb_adyacencias VALUES (34,13,7,1,1,185);</t>
  </si>
  <si>
    <t>INSERT INTO tb_adyacencias VALUES (13,34,7,2,1,195);</t>
  </si>
  <si>
    <t>INSERT INTO tb_adyacencias VALUES (13,35,7,1,1,195);</t>
  </si>
  <si>
    <t>INSERT INTO tb_adyacencias VALUES (35,13,7,2,1,190);</t>
  </si>
  <si>
    <t>INSERT INTO tb_adyacencias VALUES (35,36,7,1,1,170);</t>
  </si>
  <si>
    <t>INSERT INTO tb_adyacencias VALUES (36,35,7,2,1,170);</t>
  </si>
  <si>
    <t>INSERT INTO tb_adyacencias VALUES (36,37,7,1,1,155);</t>
  </si>
  <si>
    <t>INSERT INTO tb_adyacencias VALUES (37,36,7,2,1,155);</t>
  </si>
  <si>
    <t>INSERT INTO tb_adyacencias VALUES (37,38,7,1,1,190);</t>
  </si>
  <si>
    <t>INSERT INTO tb_adyacencias VALUES (38,37,7,2,1,190);</t>
  </si>
  <si>
    <t>INSERT INTO tb_adyacencias VALUES (38,16,7,1,1,165);</t>
  </si>
  <si>
    <t>INSERT INTO tb_adyacencias VALUES (16,38,7,2,1,165);</t>
  </si>
  <si>
    <t>INSERT INTO tb_adyacencias VALUES (16,39,7,1,1,175);</t>
  </si>
  <si>
    <t>INSERT INTO tb_adyacencias VALUES (39,16,7,2,1,175);</t>
  </si>
  <si>
    <t>INSERT INTO tb_adyacencias VALUES (39,40,7,1,1,145);</t>
  </si>
  <si>
    <t>INSERT INTO tb_adyacencias VALUES (40,39,7,2,1,140);</t>
  </si>
  <si>
    <t>INSERT INTO tb_adyacencias VALUES (40,41,7,1,1,150);</t>
  </si>
  <si>
    <t>INSERT INTO tb_adyacencias VALUES (41,40,7,2,1,195);</t>
  </si>
  <si>
    <t>INSERT INTO tb_adyacencias VALUES (41,42,7,1,1,200);</t>
  </si>
  <si>
    <t>INSERT INTO tb_adyacencias VALUES (42,41,7,2,1,130);</t>
  </si>
  <si>
    <t>INSERT INTO tb_adyacencias VALUES (9,15,8,1,1,125);</t>
  </si>
  <si>
    <t>INSERT INTO tb_adyacencias VALUES (15,9,8,2,1,125);</t>
  </si>
  <si>
    <t>INSERT INTO tb_adyacencias VALUES (15,123,8,1,1,145);</t>
  </si>
  <si>
    <t>INSERT INTO tb_adyacencias VALUES (123,15,8,2,1,140);</t>
  </si>
  <si>
    <t>INSERT INTO tb_adyacencias VALUES (123,18,8,1,1,125);</t>
  </si>
  <si>
    <t>INSERT INTO tb_adyacencias VALUES (18,123,8,2,1,130);</t>
  </si>
  <si>
    <t>INSERT INTO tb_adyacencias VALUES (18,124,8,1,1,150);</t>
  </si>
  <si>
    <t>INSERT INTO tb_adyacencias VALUES (124,18,8,2,1,155);</t>
  </si>
  <si>
    <t>INSERT INTO tb_adyacencias VALUES (124,125,8,1,1,155);</t>
  </si>
  <si>
    <t>INSERT INTO tb_adyacencias VALUES (125,124,8,2,1,150);</t>
  </si>
  <si>
    <t>INSERT INTO tb_adyacencias VALUES (125,22,8,1,1,175);</t>
  </si>
  <si>
    <t>INSERT INTO tb_adyacencias VALUES (22,125,8,2,1,175);</t>
  </si>
  <si>
    <t>INSERT INTO tb_adyacencias VALUES (22,126,8,1,1,165);</t>
  </si>
  <si>
    <t>INSERT INTO tb_adyacencias VALUES (126,22,8,2,1,165);</t>
  </si>
  <si>
    <t>INSERT INTO tb_adyacencias VALUES (126,24,8,1,1,145);</t>
  </si>
  <si>
    <t>INSERT INTO tb_adyacencias VALUES (24,126,8,2,1,145);</t>
  </si>
  <si>
    <t>INSERT INTO tb_adyacencias VALUES (24,127,8,1,1,175);</t>
  </si>
  <si>
    <t>INSERT INTO tb_adyacencias VALUES (127,24,8,2,1,180);</t>
  </si>
  <si>
    <t>INSERT INTO tb_adyacencias VALUES (127,128,8,1,1,165);</t>
  </si>
  <si>
    <t>INSERT INTO tb_adyacencias VALUES (128,127,8,2,1,160);</t>
  </si>
  <si>
    <t>INSERT INTO tb_adyacencias VALUES (128,129,8,1,1,165);</t>
  </si>
  <si>
    <t>INSERT INTO tb_adyacencias VALUES (129,128,8,2,1,165);</t>
  </si>
  <si>
    <t>INSERT INTO tb_adyacencias VALUES (129,130,8,1,1,140);</t>
  </si>
  <si>
    <t>INSERT INTO tb_adyacencias VALUES (130,129,8,2,1,140);</t>
  </si>
  <si>
    <t>INSERT INTO tb_adyacencias VALUES (130,131,8,1,1,150);</t>
  </si>
  <si>
    <t>INSERT INTO tb_adyacencias VALUES (131,130,8,2,1,150);</t>
  </si>
  <si>
    <t>INSERT INTO tb_adyacencias VALUES (131,132,8,1,1,200);</t>
  </si>
  <si>
    <t>INSERT INTO tb_adyacencias VALUES (132,131,8,2,1,200);</t>
  </si>
  <si>
    <t>INSERT INTO tb_adyacencias VALUES (132,133,8,1,1,150);</t>
  </si>
  <si>
    <t>INSERT INTO tb_adyacencias VALUES (133,132,8,2,1,150);</t>
  </si>
  <si>
    <t>INSERT INTO tb_adyacencias VALUES (133,134,8,1,1,150);</t>
  </si>
  <si>
    <t>INSERT INTO tb_adyacencias VALUES (134,133,8,2,1,150);</t>
  </si>
  <si>
    <t>INSERT INTO tb_adyacencias VALUES (134,135,8,1,1,165);</t>
  </si>
  <si>
    <t>INSERT INTO tb_adyacencias VALUES (135,134,8,2,1,165);</t>
  </si>
  <si>
    <t>INSERT INTO tb_adyacencias VALUES (135,136,8,1,1,175);</t>
  </si>
  <si>
    <t>INSERT INTO tb_adyacencias VALUES (136,135,8,2,1,175);</t>
  </si>
  <si>
    <t>INSERT INTO tb_adyacencias VALUES (16,116,9,1,1,165);</t>
  </si>
  <si>
    <t>INSERT INTO tb_adyacencias VALUES (116,16,9,2,1,195);</t>
  </si>
  <si>
    <t>INSERT INTO tb_adyacencias VALUES (116,117,9,1,1,165);</t>
  </si>
  <si>
    <t>INSERT INTO tb_adyacencias VALUES (117,116,9,2,1,165);</t>
  </si>
  <si>
    <t>INSERT INTO tb_adyacencias VALUES (117,21,9,1,1,185);</t>
  </si>
  <si>
    <t>INSERT INTO tb_adyacencias VALUES (21,117,9,2,1,185);</t>
  </si>
  <si>
    <t>INSERT INTO tb_adyacencias VALUES (21,118,9,1,1,185);</t>
  </si>
  <si>
    <t>INSERT INTO tb_adyacencias VALUES (118,21,9,2,1,180);</t>
  </si>
  <si>
    <t>INSERT INTO tb_adyacencias VALUES (118,22,9,1,1,170);</t>
  </si>
  <si>
    <t>INSERT INTO tb_adyacencias VALUES (22,118,9,2,1,180);</t>
  </si>
  <si>
    <t>INSERT INTO tb_adyacencias VALUES (22,23,9,1,1,195);</t>
  </si>
  <si>
    <t>INSERT INTO tb_adyacencias VALUES (23,22,9,2,1,180);</t>
  </si>
  <si>
    <t>INSERT INTO tb_adyacencias VALUES (23,119,9,1,1,170);</t>
  </si>
  <si>
    <t>INSERT INTO tb_adyacencias VALUES (119,23,9,2,1,165);</t>
  </si>
  <si>
    <t>INSERT INTO tb_adyacencias VALUES (119,120,9,1,1,160);</t>
  </si>
  <si>
    <t>INSERT INTO tb_adyacencias VALUES (120,119,9,2,1,155);</t>
  </si>
  <si>
    <t>INSERT INTO tb_adyacencias VALUES (120,121,9,1,1,180);</t>
  </si>
  <si>
    <t>INSERT INTO tb_adyacencias VALUES (121,120,9,2,1,180);</t>
  </si>
  <si>
    <t>INSERT INTO tb_adyacencias VALUES (121,122,9,1,1,155);</t>
  </si>
  <si>
    <t>INSERT INTO tb_adyacencias VALUES (122,121,9,2,1,160);</t>
  </si>
  <si>
    <t>INSERT INTO tb_adyacencias VALUES (122,12,9,1,1,220);</t>
  </si>
  <si>
    <t>INSERT INTO tb_adyacencias VALUES (12,122,9,2,1,190);</t>
  </si>
  <si>
    <t>INSERT INTO tb_adyacencias VALUES (12,137,10,1,1,180);</t>
  </si>
  <si>
    <t>INSERT INTO tb_adyacencias VALUES (137,12,10,2,1,205);</t>
  </si>
  <si>
    <t>INSERT INTO tb_adyacencias VALUES (137,138,10,1,1,175);</t>
  </si>
  <si>
    <t>INSERT INTO tb_adyacencias VALUES (138,137,10,2,1,180);</t>
  </si>
  <si>
    <t>INSERT INTO tb_adyacencias VALUES (138,139,10,1,1,200);</t>
  </si>
  <si>
    <t>INSERT INTO tb_adyacencias VALUES (139,138,10,2,1,205);</t>
  </si>
  <si>
    <t>INSERT INTO tb_adyacencias VALUES (139,140,10,1,1,190);</t>
  </si>
  <si>
    <t>INSERT INTO tb_adyacencias VALUES (140,139,10,2,1,185);</t>
  </si>
  <si>
    <t>INSERT INTO tb_adyacencias VALUES (140,141,10,1,1,230);</t>
  </si>
  <si>
    <t>INSERT INTO tb_adyacencias VALUES (141,140,10,2,1,240);</t>
  </si>
  <si>
    <t>INSERT INTO tb_adyacencias VALUES (141,142,10,1,1,200);</t>
  </si>
  <si>
    <t>INSERT INTO tb_adyacencias VALUES (142,141,10,2,1,195);</t>
  </si>
  <si>
    <t>INSERT INTO tb_adyacencias VALUES (142,143,10,1,1,180);</t>
  </si>
  <si>
    <t>INSERT INTO tb_adyacencias VALUES (143,142,10,2,1,180);</t>
  </si>
  <si>
    <t>INSERT INTO tb_adyacencias VALUES (143,144,10,1,1,215);</t>
  </si>
  <si>
    <t>INSERT INTO tb_adyacencias VALUES (144,143,10,2,1,190);</t>
  </si>
  <si>
    <t>INSERT INTO tb_adyacencias VALUES (144,145,10,1,1,230);</t>
  </si>
  <si>
    <t>INSERT INTO tb_adyacencias VALUES (145,144,10,2,1,220);</t>
  </si>
  <si>
    <t>INSERT INTO tb_adyacencias VALUES (8,87,11,2,1,150);</t>
  </si>
  <si>
    <t>INSERT INTO tb_adyacencias VALUES (8,9,11,1,1,160);</t>
  </si>
  <si>
    <t>INSERT INTO tb_adyacencias VALUES (9,8,11,2,1,160);</t>
  </si>
  <si>
    <t>INSERT INTO tb_adyacencias VALUES (9,88,11,1,1,145);</t>
  </si>
  <si>
    <t>INSERT INTO tb_adyacencias VALUES (88,9,11,2,1,130);</t>
  </si>
  <si>
    <t>INSERT INTO tb_adyacencias VALUES (88,89,11,1,1,135);</t>
  </si>
  <si>
    <t>INSERT INTO tb_adyacencias VALUES (89,88,11,2,1,140);</t>
  </si>
  <si>
    <t>INSERT INTO tb_adyacencias VALUES (89,10,11,1,1,135);</t>
  </si>
  <si>
    <t>INSERT INTO tb_adyacencias VALUES (10,89,11,2,1,145);</t>
  </si>
  <si>
    <t>INSERT INTO tb_adyacencias VALUES (10,11,11,1,1,205);</t>
  </si>
  <si>
    <t>INSERT INTO tb_adyacencias VALUES (11,10,11,2,1,200);</t>
  </si>
  <si>
    <t>INSERT INTO tb_adyacencias VALUES (11,90,11,1,1,165);</t>
  </si>
  <si>
    <t>INSERT INTO tb_adyacencias VALUES (90,11,11,2,1,155);</t>
  </si>
  <si>
    <t>INSERT INTO tb_adyacencias VALUES (90,91,11,1,1,155);</t>
  </si>
  <si>
    <t>INSERT INTO tb_adyacencias VALUES (91,90,11,2,1,160);</t>
  </si>
  <si>
    <t>INSERT INTO tb_adyacencias VALUES (91,7,11,1,1,150);</t>
  </si>
  <si>
    <t>INSERT INTO tb_adyacencias VALUES (7,91,11,2,1,160);</t>
  </si>
  <si>
    <t>INSERT INTO tb_adyacencias VALUES (7,92,11,1,1,170);</t>
  </si>
  <si>
    <t>INSERT INTO tb_adyacencias VALUES (92,7,11,2,1,155);</t>
  </si>
  <si>
    <t>INSERT INTO tb_adyacencias VALUES (92,93,11,1,1,165);</t>
  </si>
  <si>
    <t>INSERT INTO tb_adyacencias VALUES (93,92,11,2,1,165);</t>
  </si>
  <si>
    <t>INSERT INTO tb_adyacencias VALUES (93,94,11,1,1,150);</t>
  </si>
  <si>
    <t>INSERT INTO tb_adyacencias VALUES (94,93,11,2,1,150);</t>
  </si>
  <si>
    <t>INSERT INTO tb_adyacencias VALUES (94,95,11,1,1,175);</t>
  </si>
  <si>
    <t>INSERT INTO tb_adyacencias VALUES (95,94,11,2,1,180);</t>
  </si>
  <si>
    <t>INSERT INTO tb_adyacencias VALUES (95,96,11,1,1,180);</t>
  </si>
  <si>
    <t>INSERT INTO tb_adyacencias VALUES (96,95,11,2,1,180);</t>
  </si>
  <si>
    <t>INSERT INTO tb_adyacencias VALUES (96,97,11,1,1,130);</t>
  </si>
  <si>
    <t>INSERT INTO tb_adyacencias VALUES (97,96,11,2,1,130);</t>
  </si>
  <si>
    <t>INSERT INTO tb_adyacencias VALUES (97,98,11,1,1,168);</t>
  </si>
  <si>
    <t>INSERT INTO tb_adyacencias VALUES (98,97,11,2,1,165);</t>
  </si>
  <si>
    <t>INSERT INTO tb_adyacencias VALUES (98,99,11,1,1,187);</t>
  </si>
  <si>
    <t>INSERT INTO tb_adyacencias VALUES (99,98,11,2,1,185);</t>
  </si>
  <si>
    <t>INSERT INTO tb_adyacencias VALUES (99,100,11,1,1,135);</t>
  </si>
  <si>
    <t>INSERT INTO tb_adyacencias VALUES (100,99,11,2,1,140);</t>
  </si>
  <si>
    <t>INSERT INTO tb_adyacencias VALUES (100,101,11,1,1,150);</t>
  </si>
  <si>
    <t>INSERT INTO tb_adyacencias VALUES (101,100,11,2,1,145);</t>
  </si>
  <si>
    <t>INSERT INTO tb_adyacencias VALUES (101,102,11,1,1,160);</t>
  </si>
  <si>
    <t>INSERT INTO tb_adyacencias VALUES (102,101,11,2,1,145);</t>
  </si>
  <si>
    <t>Dirección</t>
  </si>
  <si>
    <t>41     Centro Comercial</t>
  </si>
  <si>
    <t>Taxi</t>
  </si>
  <si>
    <t>Mexibus</t>
  </si>
  <si>
    <t>Teléfono Público</t>
  </si>
  <si>
    <t>Puesto de Revistas</t>
  </si>
  <si>
    <t>Local de venta de discos.</t>
  </si>
  <si>
    <t>Local de venta de películas originales.</t>
  </si>
  <si>
    <t xml:space="preserve">Espacios intervenidos con arte y cultura en los transbordos y corredores de la estación </t>
  </si>
  <si>
    <t>Sanitarios de acceso público por cobro.</t>
  </si>
  <si>
    <t>Estación para beber agua de forma gratuita en temporadas de altas temperaturas.</t>
  </si>
  <si>
    <t>Comida</t>
  </si>
  <si>
    <t>Local de venta de pan de caja y dulce.</t>
  </si>
  <si>
    <t xml:space="preserve">Productos varios, bebidas, snacks, botanas, galletas etc. </t>
  </si>
  <si>
    <t>Jefatura designada por el Sistema de Transporte Colectivo Metro.</t>
  </si>
  <si>
    <t>Joyería</t>
  </si>
  <si>
    <t>Lotería</t>
  </si>
  <si>
    <t>Venta de productos varios.</t>
  </si>
  <si>
    <t>Pizzas y bebidas para acompañar.</t>
  </si>
  <si>
    <t>Pizzería</t>
  </si>
  <si>
    <t>Platería</t>
  </si>
  <si>
    <t>Taquería</t>
  </si>
  <si>
    <t>Sitio de taxi cercano.</t>
  </si>
  <si>
    <t>Estación de mexibus cercano.</t>
  </si>
  <si>
    <t>Teléfono de uso público.</t>
  </si>
  <si>
    <t>logo_com_centro_comercial_mexipuerto</t>
  </si>
  <si>
    <t>logo_com_mini_super_tienda_abarrotes</t>
  </si>
  <si>
    <t>logo_com_taxi</t>
  </si>
  <si>
    <t>logo_com_mexibus</t>
  </si>
  <si>
    <t>logo_com_centro_comercial_plaza</t>
  </si>
  <si>
    <t>logo_com_puesto_de_revistas</t>
  </si>
  <si>
    <t>logo_com_telefono_publico</t>
  </si>
  <si>
    <t>logo_com_peliculas_originales</t>
  </si>
  <si>
    <t>43     Minisuper / Tienda de Abarrotes</t>
  </si>
  <si>
    <t>44     Taxi</t>
  </si>
  <si>
    <t>5     Circuito Cerrado de TV</t>
  </si>
  <si>
    <t>45     Mexibus</t>
  </si>
  <si>
    <t>25     Paradero</t>
  </si>
  <si>
    <t>31     Servicios Médicos</t>
  </si>
  <si>
    <t>Centro Deportivo Oceanía</t>
  </si>
  <si>
    <t>9     Comida</t>
  </si>
  <si>
    <t>47     Teléfono Público</t>
  </si>
  <si>
    <t>6     Celulares</t>
  </si>
  <si>
    <t>16     Jefe de Estación</t>
  </si>
  <si>
    <t>36     Taquería</t>
  </si>
  <si>
    <t>11     CyberCafé</t>
  </si>
  <si>
    <t>1     Arte y Cultura</t>
  </si>
  <si>
    <t>48     Tienda de Peliculas Originales</t>
  </si>
  <si>
    <t>46     Puesto de Revistas</t>
  </si>
  <si>
    <t>24     Tienda Naturista</t>
  </si>
  <si>
    <t>27     Pizzería</t>
  </si>
  <si>
    <t>35     Suburbano</t>
  </si>
  <si>
    <t>21     Metrobus</t>
  </si>
  <si>
    <t>Dirección : Avenida Carlos Hank González. Col. Ciudad Azteca.</t>
  </si>
  <si>
    <t>Dirección : Avenida Carlos Hank González y Valle de Santiago. Col. Olímpica. Ecatepec, Estado de México.</t>
  </si>
  <si>
    <t>Dirección : Avenida Carlos Hank González. Col. U. H. La Alborada y Valle de Anáhuac sección A. Ecatepec, Estado de México.</t>
  </si>
  <si>
    <t>Dirección : Avenida Carlos Hank González y Valle del Guadiana. Col. Valle de Aragón 3a. Sección. Ecatepec, Estado de México.</t>
  </si>
  <si>
    <t>Dirección : Avenida Carlos Hank González. Col. Valle de Aragón 2a. Sección. Nezahualcóyotl, Estado de México.</t>
  </si>
  <si>
    <t>Dirección : Avenida Carlos Hank González y Avenida Cinco. Col. La Impulsora. Nezahualcóyotl, Estado de México.</t>
  </si>
  <si>
    <t>Dirección : Avenida Carlos Hank González y Boulevard Bosques de los Continentes. Col. Vergel de Guadalupe. Nezahualcóyotl, Estado de México.</t>
  </si>
  <si>
    <t xml:space="preserve"> Bosque de Aragón: Parque, deportivo y zoológico</t>
  </si>
  <si>
    <t xml:space="preserve"> Centro Deportivo Oceanía: Centro deportivo</t>
  </si>
  <si>
    <t>1     Arte y Cultura Corredor Cultural: Exposiciones de arte y cultura</t>
  </si>
  <si>
    <t>etiopia_plaza_de_la_transparencia</t>
  </si>
  <si>
    <t>19°23′54″N 99°12′1″W﻿ / ﻿19.398237, -99.200363</t>
  </si>
  <si>
    <t>Calzada Minas de Arena Colonia Acueducto.</t>
  </si>
  <si>
    <t>Avenida Río Tacubaya Colonia Real del Monte.</t>
  </si>
  <si>
    <t>Terminal de Autobuses del Poniente</t>
  </si>
  <si>
    <t>19°24′12″N 99°11′14″W﻿ / ﻿19.403439, -99.187102</t>
  </si>
  <si>
    <t>El ícono de la estación se conforma por la silueta de un cántaro de agua, ya que el nombre de la estación en náhuatl significa: lugar donde se junta el agua.</t>
  </si>
  <si>
    <t>E. Castellanos (Mercado Cartagena) Colonia Tacubaya.</t>
  </si>
  <si>
    <t>Avenida Parque Lira Colonia Tacubaya.</t>
  </si>
  <si>
    <t>Avenida Jalisco y Rufina Colonia Tacubaya.</t>
  </si>
  <si>
    <t>Parque Lira Colonia Tacubaya.</t>
  </si>
  <si>
    <t>Por línea 1 Norponiente</t>
  </si>
  <si>
    <t>Por línea 1 Nororiente</t>
  </si>
  <si>
    <t>Por línea 1 Surponiente</t>
  </si>
  <si>
    <t>Por línea 1 Suroriente</t>
  </si>
  <si>
    <t>Calle Doctora esquina Avenida Parque Lira Colonia Tacubaya.</t>
  </si>
  <si>
    <t>Por línea 7</t>
  </si>
  <si>
    <t>Avenida Jalisco e Iturbe Colonia Tacubaya.</t>
  </si>
  <si>
    <t>Por línea 9 al Nororiente</t>
  </si>
  <si>
    <t>Avenida Jalisco y Mártires de la Conquista Colonia Tacubaya.</t>
  </si>
  <si>
    <t>Por línea 9 al Suroriente</t>
  </si>
  <si>
    <t>Avenida Jalisco y Manuel Dublan Colonia Tacubaya.</t>
  </si>
  <si>
    <t>Por línea 9 al Norponiente</t>
  </si>
  <si>
    <t>23     Monumentos Principales</t>
  </si>
  <si>
    <t>Plaza de Gaulle</t>
  </si>
  <si>
    <t>Parque Lira</t>
  </si>
  <si>
    <t>Museo Casa de la Bola</t>
  </si>
  <si>
    <t>Museo Nacional de Cartografía</t>
  </si>
  <si>
    <t>Ubicado en Gob. Vicente Eguia y Gral. Sóstenes Rocha</t>
  </si>
  <si>
    <t>Delegación Miguel Hidalgo</t>
  </si>
  <si>
    <t>Alameda Tacubaya</t>
  </si>
  <si>
    <t>Delegacion</t>
  </si>
  <si>
    <t>Jardín ubicado en la avenida homónima entre Gob. Vicente Eguia y Av. Observatorio</t>
  </si>
  <si>
    <t>Antes llamada plaza de la Estrella, está ubicado en la esquina de Av. Jalisco y Av. Parque Lira</t>
  </si>
  <si>
    <t>Ubicado en parque Lira, entre Gob. Vicente Eguia y Av. Observatorio</t>
  </si>
  <si>
    <t>19°24′46″N 99°10′56″W﻿ / ﻿19.41289, -99.182167</t>
  </si>
  <si>
    <t>El ícono de la estación representa una mariposa (Proviene del vocablo Náhuatl Xonacatlán, que significa "lugar de cebollas" pero algunas veces se lee erróneamente como "lugar de mariposas").</t>
  </si>
  <si>
    <t>Avenida Pedro Antonio de los Santos Colonia San Miguel Chapultepec.</t>
  </si>
  <si>
    <t>Avenida Circuito Interior Colonia San Miguel Chapultepec.</t>
  </si>
  <si>
    <t>Centro de estudios superiores ubicado en Av. Constituyentes entre Gral. León y Gral. Molinos del Campo.</t>
  </si>
  <si>
    <t>Universidad del Valle de México</t>
  </si>
  <si>
    <t>Centro de estudios</t>
  </si>
  <si>
    <t>Bosque de Chapultepec</t>
  </si>
  <si>
    <t>El ícono de la estación representa un chapulín como lo hace el topoglifo del Bosque de Chapultepec que le es adyacente.</t>
  </si>
  <si>
    <t>19°25′15″N 99°10′37″W﻿ / ﻿19.42083, -99.176943</t>
  </si>
  <si>
    <t>Paradero Norte, Paseo de la Reforma, Puerta de los Leones de la 1ª sección del Bosque de Chapultepec, Secretaria de Salud, Torre Mayor (S-1).</t>
  </si>
  <si>
    <t>Circuito Interior Bicentenario lado oriente, Avenida José Vasconcelos Colonia Condensa (S-3).</t>
  </si>
  <si>
    <t>Circuito Interior Bicentenario lado poniente, Puerta del Mercado de Flores de la 1ª sección del Bosque de Chapultepec, Colonia San Miguel Chapultepec (S-4).</t>
  </si>
  <si>
    <t>Circuito Interior Bicentenario lado oriente, Puerta del Altar a la Patria de la 1ª sección del Bosque de Chapultepec, fuente antigua del acueducto (S-5).</t>
  </si>
  <si>
    <t>Museo de Arte Moderno</t>
  </si>
  <si>
    <t>Zoológico de Chapultepec</t>
  </si>
  <si>
    <t>Museo Nacional de Historia</t>
  </si>
  <si>
    <t>Es el parque urbano más grande de América Latina, es un bosque en parte natural y en parte artificial, que fue creado durante el gobierno mexica del valle de México.</t>
  </si>
  <si>
    <t>Altar a la Patria</t>
  </si>
  <si>
    <t>(Erroneamente conocido como Monumento a los Niños Heroes) Este monumento esta dedicado a los combatientes contra la invasión estadounidense de 1846 a 1847 con la frase:“A los Defensores de la Patria 1846-1847”. Fué diseñado por el arquitecto Enrique Aragón y esculpido por Ernesto Tamariz.</t>
  </si>
  <si>
    <t>Horarios: Martes a domingo 10:15 a 17:30 horas. Admisión: $25.00 MN. Ubicado en Paseo de la Reforma y Mahatma Gandhi S/N  Bosque de Chapultepec I, Miguel Hidalgo, 11560 Ciudad de México, Distrito Federal.</t>
  </si>
  <si>
    <t>Es el segundo zoológico más grande de México despues del de Zoológico de Guadalajara. Localizado en la 1ª Secc. Bosques De Chapultepec.</t>
  </si>
  <si>
    <t>Ubicado dentro del majestuoso Castillo de Chapultepec (construcción palaciega ubicada en lo alto del cerro del mismo nombre).</t>
  </si>
  <si>
    <t>El ícono de la estación representa los Arcos de Chapultepec (entre Sevilla y Varsovia), corto tramo que se conserva del acueducto colonial de 904 arcos y 3908 km. de longitud, construido en 1779 sobre la calzada de Belén y que conducía el agua de Chapultepec a la fuente del Salto del Agua.</t>
  </si>
  <si>
    <t>19°25′19″N 99°10′14″W﻿ / ﻿19.421916, -99.17058</t>
  </si>
  <si>
    <t>Calle Londres Colonia Juárez.</t>
  </si>
  <si>
    <t>Avenida Chapultepec Colonia Juárez.</t>
  </si>
  <si>
    <t>Avenida Chapultepec Colonia Roma.</t>
  </si>
  <si>
    <t>Acueducto sobre Av. Chapultepec</t>
  </si>
  <si>
    <t>Acueducto</t>
  </si>
  <si>
    <t>Avenida Chapultepec y Avenida de los Insurgentes (Glorieta de los Insurgentes). Col. Juarez (Zona Rosa) y Roma Norte.</t>
  </si>
  <si>
    <t>Glorieta de los Insurgentes</t>
  </si>
  <si>
    <t>19°25′24″N 99°9′47″W﻿ / ﻿19.423292, -99.163177</t>
  </si>
  <si>
    <t>El ícono de la estación representa la Campana de Dolores, con la cual el sacerdote Miguel Hidalgo y Costilla llamó a rebelarse contra el gobierno español el 16 de septiembre de 1810. Debido a esto es que el símbolo de los Insurgentes, palabra que significa sublevado contra la autoridad</t>
  </si>
  <si>
    <t>Oaxaca Oriente Colonia Roma.</t>
  </si>
  <si>
    <t>Insurgentes Colonia Roma Norte.</t>
  </si>
  <si>
    <t>Jalapa Colonia Roma Norte.</t>
  </si>
  <si>
    <t>Avenida Chapultepec, Colonia Juárez.</t>
  </si>
  <si>
    <t>Génova Colonia Juárez.</t>
  </si>
  <si>
    <t>Ubicado en Londres esquina Amberes.</t>
  </si>
  <si>
    <t>Plaza del Ángel</t>
  </si>
  <si>
    <t>Universidad de las Ámericas</t>
  </si>
  <si>
    <t>Ubicado en Av. Chapultepec entre el Eje 2 Pte. Florencia y Medellín.</t>
  </si>
  <si>
    <t>Fuente de las Cibeles y Plaza Madrid</t>
  </si>
  <si>
    <t>Ubicado en la glorieta de Durango, Oaxaca y Medellín.</t>
  </si>
  <si>
    <t>Es una importante plaza y nodo urbano localizado en la intersección de Avenida de los Insurgentes  y Avenida Chapultepec y en ella desembocan la Avenida Oaxaca, y las calles de Jalapa y Génova, de la Ciudad de México.</t>
  </si>
  <si>
    <t>Metrobus Insurgentes</t>
  </si>
  <si>
    <t>Estación de Metrobus Insurgentes en sus cercanias.</t>
  </si>
  <si>
    <t>19°25′33″N 99°9′17″W﻿ / ﻿19.425862, -99.154701</t>
  </si>
  <si>
    <t>El ícono de la estación es un águila, ya que Cuauhtémoc significa "águila que cae".</t>
  </si>
  <si>
    <t>El Centro Cultural Telmex</t>
  </si>
  <si>
    <t>Plaza Morelia</t>
  </si>
  <si>
    <t>Plaza Romita</t>
  </si>
  <si>
    <t>Jardín Dr. Ignacio Chávez</t>
  </si>
  <si>
    <t>Jardín Pushkin</t>
  </si>
  <si>
    <t>Arena México</t>
  </si>
  <si>
    <t>Secretaría de Gobernación (SEGOB)</t>
  </si>
  <si>
    <t xml:space="preserve">Plaza Giordano Bravo </t>
  </si>
  <si>
    <t xml:space="preserve">Plaza Jorge Washington </t>
  </si>
  <si>
    <t xml:space="preserve">Biblioteca Benjamín Franklin </t>
  </si>
  <si>
    <t>Museo de Cera</t>
  </si>
  <si>
    <t>Museo de Ripley</t>
  </si>
  <si>
    <t>Metrobús Cuauhtémoc</t>
  </si>
  <si>
    <t>Estación del Metrobús cercana en Eje 1 Pte. entre Av. Chapultepec y Dr. Lavista</t>
  </si>
  <si>
    <t>Ubicado en el Eje 1 Pte. Av. Cuauhtémoc y Dr. Licéaga</t>
  </si>
  <si>
    <t>Ubicado en el Eje 1 Pte. entre Dr. Licéaga y Dr. Juan Navarro</t>
  </si>
  <si>
    <t>Ubicado en el Eje 1 Pte. entre Colima y Durango</t>
  </si>
  <si>
    <t>Ubicado en Dr. Río de la Loza entre Dr. Carmona y Valle y Dr. Rafael Lucio</t>
  </si>
  <si>
    <t>Ubicado en el Eje 1 Pte. Bucareli esquina Atenas</t>
  </si>
  <si>
    <t>Ubicado en Berlín esquina Barcelona</t>
  </si>
  <si>
    <t>Ubicado en Londres esquina Dinamarca</t>
  </si>
  <si>
    <t>Ubicado en Londres esquina Berlín</t>
  </si>
  <si>
    <t>Ubicado en Londres esquina Bruselas</t>
  </si>
  <si>
    <t xml:space="preserve">Multiforo Cultural Alicia </t>
  </si>
  <si>
    <t>Foro cultural y contracultural de la Cd de México, característico por dar cabida a la escena independiente musical y contracultural. También es conocido como "Foro Alicia", "Multiforo Alicia" o "El Alicia".</t>
  </si>
  <si>
    <t>Es un edificio de la en la Ciudad de México, que alberga un conjunto de escenarios teatrales. Y está ubicado en Av. Cuauhtémoc 19 altos esq. Puebla, Col. Roma.</t>
  </si>
  <si>
    <t>19°25′39″N 99°8′57″W﻿ / ﻿19.42744, -99.149036</t>
  </si>
  <si>
    <t>El ícono de la estación es un cañón, que hace remembranza al episodio histórico de la "Decena Trágica".</t>
  </si>
  <si>
    <t>Avenida Chapultepec y Balderas, Colonia Centro.</t>
  </si>
  <si>
    <t>Calle Tolsa y Balderas, Colonia Centro.</t>
  </si>
  <si>
    <t>Avenida Chapultepec y Niños Héroes, Colonia Doctores.</t>
  </si>
  <si>
    <t>Televisa Chapultepec</t>
  </si>
  <si>
    <t>Úbicado en la esquina de Niños Héroes y Arcos de Belén</t>
  </si>
  <si>
    <t>Centro Escolar Revolución</t>
  </si>
  <si>
    <t xml:space="preserve"> en Balderas entre Emilio Dondé y Tolsá</t>
  </si>
  <si>
    <t>Biblioteca de México "José Vasconcelos"</t>
  </si>
  <si>
    <t>Mercado de Artesanías en Balderas entre Emilio Dondé y Ayuntamiento</t>
  </si>
  <si>
    <t>La Ciudadela</t>
  </si>
  <si>
    <t>Antiguamente llamado Vocacional 5, se ubica en la esquina de Emilio Dondé y Enrico Martínez</t>
  </si>
  <si>
    <t>CECYT 5 del Instituto Politécnico Nacional</t>
  </si>
  <si>
    <t>Ubicado en Niños Héroes esquina Dr. Claudio Bernard</t>
  </si>
  <si>
    <t>Tesorería del Distrito Federal</t>
  </si>
  <si>
    <t>19°25′37″N 99°8′32″W﻿ / ﻿19.426813, -99.142213</t>
  </si>
  <si>
    <t>Por línea 1 al Norte: Avenida Arcos de Belén Norte Colonia Centro.</t>
  </si>
  <si>
    <t>Por línea 1 al Sur: Avenida Arcos de Belén Sur Colonia Doctores.</t>
  </si>
  <si>
    <t>Por línea 8 al Norponiente: Eje Central Lázaro Cárdenas y Delicias Colonia Centro.</t>
  </si>
  <si>
    <t>Oficinas del Registro Civil en Arcos de Belén esquina Dr. Andrade</t>
  </si>
  <si>
    <t>Colegio de las Vizcaínas</t>
  </si>
  <si>
    <t>Ubicado en el Eje Central entre Vizcaínas y San Jerónimo</t>
  </si>
  <si>
    <t>Ubicado en el cruce del Eje Central Lázaro Cárdenas y José María Izazaga</t>
  </si>
  <si>
    <t>La fuente idem</t>
  </si>
  <si>
    <t>Plaza de las Vizcaínas</t>
  </si>
  <si>
    <t>Ubicado en Ernesto Pugibet entre Buen Tono y Luis Moya</t>
  </si>
  <si>
    <t>Torre de TELMEX</t>
  </si>
  <si>
    <t>Registro Civil</t>
  </si>
  <si>
    <t>Plaza Capitán Rodríguez M.</t>
  </si>
  <si>
    <t>Ubicado en Arcos de Belén esquina Dr. Andrade</t>
  </si>
  <si>
    <t>19°25′36″N 99°8′16″W﻿ / ﻿19.426732, -99.137685</t>
  </si>
  <si>
    <t>El ícono de la estación es una Carabela, inspirada en las naves de Cristóbal Colón al llegar a América.</t>
  </si>
  <si>
    <t>Avenida José María Izazaga casi esquina Isabel la Católica.</t>
  </si>
  <si>
    <t>Ubicado en José María Izazaga esquina Isabel La Católica</t>
  </si>
  <si>
    <t>Museo de la Charrería</t>
  </si>
  <si>
    <t>Universidad del Claustro de Sor Juana</t>
  </si>
  <si>
    <t>Ubicado en Bolívar esquina Echeveste</t>
  </si>
  <si>
    <t>Plaza Regina</t>
  </si>
  <si>
    <t>Se encuentra ubicado frente a la estación del metro. Izazaga 92, Centro Histórico.</t>
  </si>
  <si>
    <t>19°25′31″N 99°7′59″W﻿ / ﻿19.425336, -99.132943</t>
  </si>
  <si>
    <t>José María Izazaga y Pino Suárez Colonia Centro.</t>
  </si>
  <si>
    <t>Por línea 1 al Norte</t>
  </si>
  <si>
    <t>Por línea 1 al Poniente</t>
  </si>
  <si>
    <t>Calle cerrada San Lucas y Avenida Fray Servando Teresa de Mier Colonia Centro.</t>
  </si>
  <si>
    <t>Por línea 2 al Sur</t>
  </si>
  <si>
    <t>Avenida José María Izazaga y Calzada San Antonio Abad Colonia Centro.</t>
  </si>
  <si>
    <t>Por línea 2 al Norte</t>
  </si>
  <si>
    <t>Ubicado en la esquina de 20 de noviembre y José María Izazaga</t>
  </si>
  <si>
    <t>Templo de San Miguel Arcángel</t>
  </si>
  <si>
    <t>Ubicado en la calle homónima.</t>
  </si>
  <si>
    <t>Iglesia de San Pedro Apóstol</t>
  </si>
  <si>
    <t>Ubicado en la esquina de la calle Mesones y el callejón del mismo nombre</t>
  </si>
  <si>
    <t>Templo de San José de Gracia</t>
  </si>
  <si>
    <t>Hospital de Jesús</t>
  </si>
  <si>
    <t>Se encuentran en la cuadra que forman las calles República de El Salvador y Mesones y las avenidas 20 de Noviembre y Pino Suárez.</t>
  </si>
  <si>
    <t>Iglesia de Jesús</t>
  </si>
  <si>
    <t>Ubicado en la esquina de República de El Salvador y Pino Suárez.</t>
  </si>
  <si>
    <t>Museo de la Ciudad de México</t>
  </si>
  <si>
    <t>Queda ubicado cerca del puente que hay entre Eje 1 Sur Fray Servando Teresa de Mier y 20 de Noviembre.</t>
  </si>
  <si>
    <t>Plaza San Salvador</t>
  </si>
  <si>
    <t>Plaza Tlaxcoaque</t>
  </si>
  <si>
    <t>Ubicado en el túnel Tlaxcoaque que une 20 de Noviembre con la Calz. San Antonio Abad.</t>
  </si>
  <si>
    <t>Iglesia Tlaxcoaque</t>
  </si>
  <si>
    <t>Ubicado en la esquina de las calles Chimalpopoca y 5 de Febrero.</t>
  </si>
  <si>
    <t>Hospital Homeopático Nacional</t>
  </si>
  <si>
    <t>19°25′32″N 99°7′29″W﻿ / ﻿19.425558, -99.124639</t>
  </si>
  <si>
    <t>Avenida Anillo de Circunvalación y Plaza Carrizal Zona Centro</t>
  </si>
  <si>
    <t>Al interior del Mercado Merced Colonia Zona Centro</t>
  </si>
  <si>
    <t>Mercado de Sonora</t>
  </si>
  <si>
    <t>Ubicado entre Eje 1 Ote. Anillo de Circunvalación esq. Abraham Olvera</t>
  </si>
  <si>
    <t>Plaza Carrizal</t>
  </si>
  <si>
    <t>Ubicado dentro de la estación, entre El Rosario y Santa Escuela esq. Gral. Anaya</t>
  </si>
  <si>
    <t>Mercado de la Merced</t>
  </si>
  <si>
    <t>Ubicado en Gral. Anaya esq. San Ciprián</t>
  </si>
  <si>
    <t>Plaza San Ciprián</t>
  </si>
  <si>
    <t>Ubicado en la esquina de Eje 1 Ote. Calz. Canal y Eje 1 Sur Fray Servando Teresa de Mier</t>
  </si>
  <si>
    <t>Estación Central de Bomberos</t>
  </si>
  <si>
    <t>Escuela Ezequiel A. Chavez</t>
  </si>
  <si>
    <t>Mercado famoso por la venta de productos supuestamente milagrosos o mágicos.</t>
  </si>
  <si>
    <t>Escuela Nacional Preparatoria Plantel 7, Ubicado en Adolfo Prieto 722 Colonia del Valle, Del. Benito Juárez.</t>
  </si>
  <si>
    <t>19°25′44″N 99°7′10″W﻿ / ﻿19.428837, -99.119511</t>
  </si>
  <si>
    <t>Calle Candelaria Colonia Zona Centro.</t>
  </si>
  <si>
    <t>Linea 1 al Norte</t>
  </si>
  <si>
    <t>Av. Congreso de la Unión Colonia Del Parque.</t>
  </si>
  <si>
    <t>Linea 4 al Nororiente</t>
  </si>
  <si>
    <t>Av. Congreso de la Unión y Calle Candelaria Colonia Zona Centro.</t>
  </si>
  <si>
    <t>Linea 4 al Norponiente</t>
  </si>
  <si>
    <t>Av. Congreso de la Unión y Sidar y Rovirosa Colonia Del Parque.</t>
  </si>
  <si>
    <t>Linea 4 al Suroriente</t>
  </si>
  <si>
    <t>Ubicado en el Eje 2 Ote. Av. Congreso de la Unión entre Sidar y Rovirosa y Gral. Emiliano Zapata</t>
  </si>
  <si>
    <t>Palacio Legislativo de San Lázaro</t>
  </si>
  <si>
    <t>Deportivo Venustiano Carranza</t>
  </si>
  <si>
    <t>Hospital de Traumatología de Balbuena</t>
  </si>
  <si>
    <t>Ubicado en Sur 103 entre Cecilio Robelo y Stand de Tiro.</t>
  </si>
  <si>
    <t>Hospital General de Balbuena</t>
  </si>
  <si>
    <t>(Frente al de Traumatología) Ubicado en Sur 103 entre Cecilio Robelo y Stand de Tiro.</t>
  </si>
  <si>
    <t>Ubicado en San Simón esquina Santa Escuela.</t>
  </si>
  <si>
    <t>Plaza de la Soledad</t>
  </si>
  <si>
    <t>Ubicado entre Eje 2 Ote. y Juan de la Granja</t>
  </si>
  <si>
    <t>Parque Guadalupe Victoria</t>
  </si>
  <si>
    <t>Ubicado en el Eje 2 Oriente, Av. Congreso de La Unión.</t>
  </si>
  <si>
    <t>Ubicado en el antiguo Palacio Negro de Lecumberri (anteriormente, Prisión de Máxima Seguridad del Porfiriato.</t>
  </si>
  <si>
    <t>Archivo General de la Nación</t>
  </si>
  <si>
    <t>Mejor conocida como TAPO, estación de autobuses que cuentan con salidas a Puebla, Veracruz, Yucatán, Oaxaca, Chiapas, etcétera.</t>
  </si>
  <si>
    <t>Terminal de Autobuses de Oriente</t>
  </si>
  <si>
    <t>Se ubica detrás de la estación, es el lugar donde se ubica la Cámara de Diputados.</t>
  </si>
  <si>
    <t>19°25′38″N 99°6′37″W﻿ / ﻿19.427218, -99.110305</t>
  </si>
  <si>
    <t>Av. Gral. Ignacio Zaragoza. y Calle Carlos Santana. Col. Jardín Balbuena y Moctezuma 1ª sección.</t>
  </si>
  <si>
    <t>El ícono de la estación, es una representación del Penacho de Moctezuma, perteneciente al antepenúltimo Emperador Azteca Moctezuma II. Este penacho se encuentra en Viena, Austria pese a los continuos reclamos de México por su devolución.</t>
  </si>
  <si>
    <t>José Jasso esquina Calzada Ignacio Zaragoza Colonia Moctezuma 1ª sección.</t>
  </si>
  <si>
    <t>Entrada Sur del H. Congreso de la Unión.</t>
  </si>
  <si>
    <t>Ubicado entre Alfonso Ceballos y Juan Gutiérrez cruzándo la Av. Emilio Carranza</t>
  </si>
  <si>
    <t>Plaza Aviación</t>
  </si>
  <si>
    <t>Ubicado en Francisco del Paso y Troncoso</t>
  </si>
  <si>
    <t>Delegación Venustiano Carranza</t>
  </si>
  <si>
    <t>Ubicado en la calle Lic. Cecilio Robelo.</t>
  </si>
  <si>
    <t>Agrupamiento de Granaderos</t>
  </si>
  <si>
    <t>H. Congreso de la Unión</t>
  </si>
  <si>
    <t>Hospital Infantil Pediátrico Moctezuma</t>
  </si>
  <si>
    <t>Ubicado en Lázaro Pavía, entre Fray Servando Teresa de Mier y Luís Lara Pardo</t>
  </si>
  <si>
    <t>Jardín Balbuena</t>
  </si>
  <si>
    <t>19°25′24″N 99°6′8″W﻿ / ﻿19.423231, -99.102302</t>
  </si>
  <si>
    <t>El ícono de la estación, representa las flores del jardín Balbuena.</t>
  </si>
  <si>
    <t>Calzada Ignacio Zaragoza casi esquina con la calle de Anselmo de la Portilla Colonia Jardín Balbuena.</t>
  </si>
  <si>
    <t>Calzada Ignacio Zaragoza esquina Calle 17 Colonia Moctezuma, 1ª sección.</t>
  </si>
  <si>
    <t>19°25′11″N 99°5′45″W﻿ / ﻿19.41967, -99.09595</t>
  </si>
  <si>
    <t>Boulevard Puerto Aéreo Colonia Aviación Civil.</t>
  </si>
  <si>
    <t>Boulevard Puerto Aéreo Colonia Moctezuma.</t>
  </si>
  <si>
    <t>Boulevard Puerto Aéreo Colonia Valentín Gómez Farías.</t>
  </si>
  <si>
    <t>Calzada Ignacio Zaragoza Colonia Valentín Gómez Farías.</t>
  </si>
  <si>
    <t>El emblema de la estación es la representación del puente ubicado sobre el cruce vial.</t>
  </si>
  <si>
    <t>Norte: Calzada Ignacio Zaragoza esquina Relaciones Exteriores Colonia Federal</t>
  </si>
  <si>
    <t>Sur: Calzada Ignacio Zaragoza esquina Calle 31 Colonia Valentín Gómez Farías</t>
  </si>
  <si>
    <t>El ícono de la estación es la representación de la Constitución de 1857, cuyo congreso constituyente fue presidido por Valentín Gómez Farías, Presidente de México en varias ocasiones en el Siglo XIX.</t>
  </si>
  <si>
    <t>19°24′59″N 99°5′25″W﻿ / ﻿19.416472, -99.09035</t>
  </si>
  <si>
    <t>Ubicado en Relaciones Exteriores y Estadística</t>
  </si>
  <si>
    <t>Plaza del Ejecutivo</t>
  </si>
  <si>
    <t>19°24′44″N 99°4′57″W﻿ / ﻿19.412344, -99.08241</t>
  </si>
  <si>
    <t>El ícono de la estación representa la estatua dedicada a Ignacio Zaragoza, héroe de la Batalla de Puebla, que se encuentra cerca de la estación.</t>
  </si>
  <si>
    <t>Sur: Calzada Ignacio Zaragoza, Calle 65 Colonia Puebla</t>
  </si>
  <si>
    <t>Monumento a Ignacio Zaragoza</t>
  </si>
  <si>
    <t>Es una exposición dedicada en su totalidad a este sistema de transporte.</t>
  </si>
  <si>
    <t>Expo Metro</t>
  </si>
  <si>
    <t>Tambien llamado "El Caballito" en la cálzada homónima en su cruce con Luis Bleriot y C. A. Lindberg.</t>
  </si>
  <si>
    <t>19°24′55″N 99°4′20″W﻿ / ﻿19.415359, -99.072132</t>
  </si>
  <si>
    <t>El icono de la estación representa dos banderas de los avisos de navegación que los aztecas pusieron en el lago de Texcoco.</t>
  </si>
  <si>
    <t>Calle Alberto Branif y Miguel Lebrija.</t>
  </si>
  <si>
    <t>Por línea 1</t>
  </si>
  <si>
    <t>Avenida Miguel Lebrija Colonia Aviación Civil</t>
  </si>
  <si>
    <t>Por línea 5</t>
  </si>
  <si>
    <t>Calle Alberto Braniff Colonia Aviación Civil.</t>
  </si>
  <si>
    <t>Río Churubusco, Colonia Ampliación Adolfo López Mateos.</t>
  </si>
  <si>
    <t>Por línea 9</t>
  </si>
  <si>
    <t>Manuel Lebrija y 2ª. Cerrada de Río Churubusco, Colonia Pantitlán.</t>
  </si>
  <si>
    <t>Avenida Río Churubusco esquina Talleres Gráficos Colonia Ampliación Adolfo López Mateos.</t>
  </si>
  <si>
    <t>Por linea A</t>
  </si>
  <si>
    <t>Avenida Río Churubusco y Guadalupe Victoria Colonia Pantitlán</t>
  </si>
  <si>
    <t>Avenida Río Churubusco Colonia Pantitlán.</t>
  </si>
  <si>
    <t>CETIS 32</t>
  </si>
  <si>
    <t>Ubicado en Río Churubusco y Javier Barros Sierra</t>
  </si>
  <si>
    <t>Salida Norte: Calzada Minas de Arena Colonia Acueducto.</t>
  </si>
  <si>
    <t xml:space="preserve"> : </t>
  </si>
  <si>
    <t>Logo : El ícono de la estación se conforma por la silueta de un cántaro de agua, ya que el nombre de la estación en náhuatl significa: lugar donde se junta el agua.</t>
  </si>
  <si>
    <t>Salida Por línea 1 Norponiente: E. Castellanos (Mercado Cartagena) Colonia Tacubaya.</t>
  </si>
  <si>
    <t>Salida Por línea 1 Nororiente: Avenida Parque Lira Colonia Tacubaya.</t>
  </si>
  <si>
    <t>Salida Por línea 1 Surponiente: Avenida Jalisco y Rufina Colonia Tacubaya.</t>
  </si>
  <si>
    <t>Salida Por línea 1 Suroriente: Parque Lira Colonia Tacubaya.</t>
  </si>
  <si>
    <t>Salida Por línea 7: Calle Doctora esquina Avenida Parque Lira Colonia Tacubaya.</t>
  </si>
  <si>
    <t>Salida Por línea 9 al Nororiente: Avenida Jalisco e Iturbe Colonia Tacubaya.</t>
  </si>
  <si>
    <t>Salida Por línea 9 al Suroriente: Avenida Jalisco y Mártires de la Conquista Colonia Tacubaya.</t>
  </si>
  <si>
    <t>Salida Por línea 9 al Norponiente: Avenida Jalisco y Manuel Dublan Colonia Tacubaya.</t>
  </si>
  <si>
    <t>Logo : El ícono de la estación representa una mariposa (Proviene del vocablo Náhuatl Xonacatlán, que significa "lugar de cebollas" pero algunas veces se lee erróneamente como "lugar de mariposas").</t>
  </si>
  <si>
    <t>Salida Oriente: Avenida Pedro Antonio de los Santos Colonia San Miguel Chapultepec.</t>
  </si>
  <si>
    <t>Salida Oriente: Avenida Circuito Interior Colonia San Miguel Chapultepec.</t>
  </si>
  <si>
    <t>Salida Poniente: Avenida Pedro Antonio de los Santos Colonia San Miguel Chapultepec.</t>
  </si>
  <si>
    <t>Logo : El ícono de la estación representa un chapulín como lo hace el topoglifo del Bosque de Chapultepec que le es adyacente.</t>
  </si>
  <si>
    <t>Salida Norte: Paradero Norte, Paseo de la Reforma, Puerta de los Leones de la 1ª sección del Bosque de Chapultepec, Secretaria de Salud, Torre Mayor (S-1).</t>
  </si>
  <si>
    <t>Salida Sur: Circuito Interior Bicentenario lado oriente, Avenida José Vasconcelos Colonia Condensa (S-3).</t>
  </si>
  <si>
    <t>Salida Poniente: Circuito Interior Bicentenario lado poniente, Puerta del Mercado de Flores de la 1ª sección del Bosque de Chapultepec, Colonia San Miguel Chapultepec (S-4).</t>
  </si>
  <si>
    <t>Salida Poniente: Circuito Interior Bicentenario lado oriente, Puerta del Altar a la Patria de la 1ª sección del Bosque de Chapultepec, fuente antigua del acueducto (S-5).</t>
  </si>
  <si>
    <t>Logo : El ícono de la estación representa los Arcos de Chapultepec (entre Sevilla y Varsovia), corto tramo que se conserva del acueducto colonial de 904 arcos y 3908 km. de longitud, construido en 1779 sobre la calzada de Belén y que conducía el agua de Chapultepec a la fuente del Salto del Agua.</t>
  </si>
  <si>
    <t>Salida Norte: Calle Londres Colonia Juárez.</t>
  </si>
  <si>
    <t>Salida Norponiente: Avenida Chapultepec Colonia Juárez.</t>
  </si>
  <si>
    <t>Salida Sur: Avenida Chapultepec Colonia Roma.</t>
  </si>
  <si>
    <t>Logo : El ícono de la estación representa la Campana de Dolores, con la cual el sacerdote Miguel Hidalgo y Costilla llamó a rebelarse contra el gobierno español el 16 de septiembre de 1810. Debido a esto es que el símbolo de los Insurgentes, palabra que significa sublevado contra la autoridad</t>
  </si>
  <si>
    <t>Dirección : Avenida Chapultepec y Avenida de los Insurgentes (Glorieta de los Insurgentes). Col. Juarez (Zona Rosa) y Roma Norte.</t>
  </si>
  <si>
    <t>Salida Surponiente: Oaxaca Oriente Colonia Roma.</t>
  </si>
  <si>
    <t>Salida Suroriente: Insurgentes Colonia Roma Norte.</t>
  </si>
  <si>
    <t>Salida Sur: Jalapa Colonia Roma Norte.</t>
  </si>
  <si>
    <t>Salida Nororiente: Avenida Chapultepec, Colonia Juárez.</t>
  </si>
  <si>
    <t>Salida Norte: Génova Colonia Juárez.</t>
  </si>
  <si>
    <t>Logo : El ícono de la estación es un águila, ya que Cuauhtémoc significa "águila que cae".</t>
  </si>
  <si>
    <t>Salida Norte: Avenida Chapultepec Colonia Juárez.</t>
  </si>
  <si>
    <t>Logo : El ícono de la estación es un cañón, que hace remembranza al episodio histórico de la "Decena Trágica".</t>
  </si>
  <si>
    <t>Salida Nororiente: Avenida Chapultepec y Balderas, Colonia Centro.</t>
  </si>
  <si>
    <t>Salida Norponiente: Calle Tolsa y Balderas, Colonia Centro.</t>
  </si>
  <si>
    <t>Salida Suroriente: Avenida Chapultepec y Niños Héroes, Colonia Doctores.</t>
  </si>
  <si>
    <t>Salida Surponiente: Avenida Chapultepec y Niños Héroes, Colonia Doctores.</t>
  </si>
  <si>
    <t>Salida Norte: Por línea 1 al Norte: Avenida Arcos de Belén Norte Colonia Centro.</t>
  </si>
  <si>
    <t>Salida NorOriente: Por línea 1 al Sur: Avenida Arcos de Belén Sur Colonia Doctores.</t>
  </si>
  <si>
    <t>Salida SurOriente: Por línea 8 al Norponiente: Eje Central Lázaro Cárdenas y Delicias Colonia Centro.</t>
  </si>
  <si>
    <t>Logo : El ícono de la estación es una Carabela, inspirada en las naves de Cristóbal Colón al llegar a América.</t>
  </si>
  <si>
    <t>Salida Norte: Avenida José María Izazaga casi esquina Isabel la Católica.</t>
  </si>
  <si>
    <t>Salida Sur: Avenida José María Izazaga casi esquina Isabel la Católica.</t>
  </si>
  <si>
    <t>Salida Por línea 1 al Norte: José María Izazaga y Pino Suárez Colonia Centro.</t>
  </si>
  <si>
    <t>Salida Por línea 1 al Poniente: José María Izazaga y Pino Suárez Colonia Centro.</t>
  </si>
  <si>
    <t>Salida Por línea 2 al Sur: Calle cerrada San Lucas y Avenida Fray Servando Teresa de Mier Colonia Centro.</t>
  </si>
  <si>
    <t>Salida Por línea 2 al Norte: Avenida José María Izazaga y Calzada San Antonio Abad Colonia Centro.</t>
  </si>
  <si>
    <t>Salida Poniente: Avenida Anillo de Circunvalación y Plaza Carrizal Zona Centro</t>
  </si>
  <si>
    <t>Salida Oriente: Al interior del Mercado Merced Colonia Zona Centro</t>
  </si>
  <si>
    <t>Salida Linea 1 al Norte: Calle Candelaria Colonia Zona Centro.</t>
  </si>
  <si>
    <t>Salida Linea 4 al Nororiente: Av. Congreso de la Unión Colonia Del Parque.</t>
  </si>
  <si>
    <t>Salida Linea 4 al Norponiente: Av. Congreso de la Unión y Calle Candelaria Colonia Zona Centro.</t>
  </si>
  <si>
    <t>Salida Linea 4 al Suroriente: Av. Congreso de la Unión y Sidar y Rovirosa Colonia Del Parque.</t>
  </si>
  <si>
    <t>Logo : El ícono de la estación, es una representación del Penacho de Moctezuma, perteneciente al antepenúltimo Emperador Azteca Moctezuma II. Este penacho se encuentra en Viena, Austria pese a los continuos reclamos de México por su devolución.</t>
  </si>
  <si>
    <t>Dirección : Av. Gral. Ignacio Zaragoza. y Calle Carlos Santana. Col. Jardín Balbuena y Moctezuma 1ª sección.</t>
  </si>
  <si>
    <t>Salida Norte: José Jasso esquina Calzada Ignacio Zaragoza Colonia Moctezuma 1ª sección.</t>
  </si>
  <si>
    <t>Logo : El ícono de la estación, representa las flores del jardín Balbuena.</t>
  </si>
  <si>
    <t>Salida Norte: Calzada Ignacio Zaragoza esquina Calle 17 Colonia Moctezuma, 1ª sección.</t>
  </si>
  <si>
    <t>Salida Sur: Calzada Ignacio Zaragoza casi esquina con la calle de Anselmo de la Portilla Colonia Jardín Balbuena.</t>
  </si>
  <si>
    <t>Logo : El emblema de la estación es la representación del puente ubicado sobre el cruce vial.</t>
  </si>
  <si>
    <t>Salida Norte: Boulevard Puerto Aéreo Colonia Aviación Civil.</t>
  </si>
  <si>
    <t>Salida Nororiente: Boulevard Puerto Aéreo Colonia Aviación Civil.</t>
  </si>
  <si>
    <t>Salida Norponiente: Boulevard Puerto Aéreo Colonia Moctezuma.</t>
  </si>
  <si>
    <t>Salida Sur: Boulevard Puerto Aéreo Colonia Valentín Gómez Farías.</t>
  </si>
  <si>
    <t>Salida Suroriente: Calzada Ignacio Zaragoza Colonia Valentín Gómez Farías.</t>
  </si>
  <si>
    <t>Salida Surponiente: Boulevard Puerto Aéreo Colonia Valentín Gómez Farías.</t>
  </si>
  <si>
    <t>Logo : El ícono de la estación es la representación de la Constitución de 1857, cuyo congreso constituyente fue presidido por Valentín Gómez Farías, Presidente de México en varias ocasiones en el Siglo XIX.</t>
  </si>
  <si>
    <t>Salida Norte: Norte: Calzada Ignacio Zaragoza esquina Relaciones Exteriores Colonia Federal</t>
  </si>
  <si>
    <t>Salida Sur: Sur: Calzada Ignacio Zaragoza esquina Calle 31 Colonia Valentín Gómez Farías</t>
  </si>
  <si>
    <t>Logo : El ícono de la estación representa la estatua dedicada a Ignacio Zaragoza, héroe de la Batalla de Puebla, que se encuentra cerca de la estación.</t>
  </si>
  <si>
    <t>Salida Sur: Sur: Calzada Ignacio Zaragoza, Calle 65 Colonia Puebla</t>
  </si>
  <si>
    <t>Logo : El icono de la estación representa dos banderas de los avisos de navegación que los aztecas pusieron en el lago de Texcoco.</t>
  </si>
  <si>
    <t>Salida Por línea 1: Calle Alberto Branif y Miguel Lebrija.</t>
  </si>
  <si>
    <t>Salida Por línea 5: Avenida Miguel Lebrija Colonia Aviación Civil</t>
  </si>
  <si>
    <t>Salida Por línea 5: Calle Alberto Braniff Colonia Aviación Civil.</t>
  </si>
  <si>
    <t>Salida Por línea 9: Río Churubusco, Colonia Ampliación Adolfo López Mateos.</t>
  </si>
  <si>
    <t>Salida Por línea 9: Manuel Lebrija y 2ª. Cerrada de Río Churubusco, Colonia Pantitlán.</t>
  </si>
  <si>
    <t>Salida Sur: Avenida Río Tacubaya Colonia Real del Monte.</t>
  </si>
  <si>
    <t>Salida Por linea A: Avenida Río Churubusco esquina Talleres Gráficos Colonia Ampliación Adolfo López Mateos.</t>
  </si>
  <si>
    <t>Salida Por linea A: Avenida Río Churubusco y Guadalupe Victoria Colonia Pantitlán</t>
  </si>
  <si>
    <t>Salida Por linea A: Avenida Río Churubusco Colonia Pantitlán.</t>
  </si>
  <si>
    <t>Televisa</t>
  </si>
  <si>
    <t>El ícono de la estación representa el agua de una fuente.</t>
  </si>
  <si>
    <t>Logo : El ícono de la estación representa el agua de una fuente.</t>
  </si>
  <si>
    <t>2    Linea 2     Azul</t>
  </si>
  <si>
    <t>Av. Ingenieros Militares y Av. 16 de septiembre. Col. Argentina Poniente y Transmisiones. Municipio de Naucalpan de Juárez, Estado de México.</t>
  </si>
  <si>
    <t>19°27′35″N 99°12′57″W﻿ / ﻿19.459592, -99.215899</t>
  </si>
  <si>
    <t>El ícono de la estación representa la silueta de la estructura correspondiente a la cúpula de lo que fue el Toreo de Cuatro Caminos.</t>
  </si>
  <si>
    <t>Avenida 16 de septiembre Colonia Transmisiones.</t>
  </si>
  <si>
    <t>Avenida Ingenieros Militares (entrada para transporte público) Colonia Argentina Poniente.</t>
  </si>
  <si>
    <t>Ubicado al poniente de la estación.</t>
  </si>
  <si>
    <t>Escuela Militar de Transmisiones</t>
  </si>
  <si>
    <t>Ubicado en el Anillo Periférico entre la entrada al Campo Militar No. 1 y Avenida del Conscripto.</t>
  </si>
  <si>
    <t>Club Deportivo Israelita</t>
  </si>
  <si>
    <t>Abarca los límites que hay entre el municipio de Naucalpan del Estado de México y la delegación Miguel Hidalgo del Distrito Federal.</t>
  </si>
  <si>
    <t>Campo Militar No. 1</t>
  </si>
  <si>
    <t>Centro Comercial Pericentro</t>
  </si>
  <si>
    <t>Plaza comercial Wal-Mart/Sam`s Club</t>
  </si>
  <si>
    <t>Fábricas</t>
  </si>
  <si>
    <t>Diversas Fabricas como Kaltex (textiles), Herdez (alimentos y conservas), Sun Chemical (tintas y accesorios de imprenta).</t>
  </si>
  <si>
    <t>19°27′32″N 99°12′11″W﻿ / ﻿19.458763, -99.203153</t>
  </si>
  <si>
    <t>Su logotipo representa la cruz de una tumba.</t>
  </si>
  <si>
    <t>Calzada San Bartolo Naucalpan esquina calle Lago Fontana Colonia Argentina.</t>
  </si>
  <si>
    <t>Calzada San Bartolo Naucalpan esquina calle Lago Buenos Aires Colonia Argentina.</t>
  </si>
  <si>
    <t>Calzada San Bartolo Naucalpan entrada a panteones de Monte Sinaí, Alemán y Español Colonia Argentina.</t>
  </si>
  <si>
    <t>Panteón Francés esta en Calz. Legaria entre Avenida Rio San Joaquín y la Calz. Santa Cruz Cacalco</t>
  </si>
  <si>
    <t>Iglesia</t>
  </si>
  <si>
    <t>Ubicada en la calle Río Napo.</t>
  </si>
  <si>
    <t>Ubicada en la esquina del Lago Buenos Aires y Lago Valencia</t>
  </si>
  <si>
    <t>Ubicado en la esquina de Río Yapura y el callejón Zacatito</t>
  </si>
  <si>
    <t>Mercado</t>
  </si>
  <si>
    <t>Ubicado en Calz. México - Tacuba entre Calz. Sanctorum y Río Uruguay.</t>
  </si>
  <si>
    <t>Deportivo</t>
  </si>
  <si>
    <t>19°27′34″N 99°11′21″W﻿ / ﻿19.459349, -99.189205</t>
  </si>
  <si>
    <t>Plaza de locales comerciales y paraderos Colonia Tacuba.</t>
  </si>
  <si>
    <t>Por línea 2 al Surponiente</t>
  </si>
  <si>
    <t>Parroquia de San Miguel Arcángel Colonia Tacuba.</t>
  </si>
  <si>
    <t>Por línea 2 al Suroriente</t>
  </si>
  <si>
    <t>Calzada México Tacuba s/n Colonia Tacuba.</t>
  </si>
  <si>
    <t>Calzada Mexico-Tacuba y Golfo de Bengala Colonia Tacuba.</t>
  </si>
  <si>
    <t>Por línea 7 al Oriente</t>
  </si>
  <si>
    <t>Golfo de México y Golfo de Bengala Colonia Tacuba.</t>
  </si>
  <si>
    <t>Por línea 7 al Poniente</t>
  </si>
  <si>
    <t>9a. Agencia del Ministerio Público.</t>
  </si>
  <si>
    <t>19°27′27″N 99°10′55″W﻿ / ﻿19.457448, -99.182038</t>
  </si>
  <si>
    <t>Calzada México Tacuba s/n casi esquina con Avenida Cuitláhuac Colonia Popotla.</t>
  </si>
  <si>
    <t>Calzada México Tacuba s/n, casi esquina con Avenida Cuitláhuac Colonia San Álvaro.</t>
  </si>
  <si>
    <t>19°27′8″N 99°10′29″W﻿ / ﻿19.452147, -99.1747</t>
  </si>
  <si>
    <t>El ícono de la estación representa el ahuehuete conocido como árbol de la Noche triste donde, según la leyenda, Hernán Cortés lloro su derrota ante los mexicas.</t>
  </si>
  <si>
    <t>Calzada México-Tacuba esquina con calle Colegio Militar Colonia Popotla.</t>
  </si>
  <si>
    <t>Calzada México-Tacuba esquina con callejón de la Zanja Colonia Popotla.</t>
  </si>
  <si>
    <t>19°26′58″N 99°10′20″W﻿ / ﻿19.449354, -99.172254</t>
  </si>
  <si>
    <t>Calzada Tacuba esquina con Carrillo Puerto Colonia Anáhuac.</t>
  </si>
  <si>
    <t>Calzada México Tacuba No. 235 Colonia Un Hogar para Nosotros.</t>
  </si>
  <si>
    <t>El ícono de la estación representa la silueta del escudo del Heroico Colegio Militar, ya que se encuentra a un costado del viejo Colegio Militar de Popotla.</t>
  </si>
  <si>
    <t>Calzada México Tacuba esquina con Avenida de los Maestros Colonia Tlaxpana.</t>
  </si>
  <si>
    <t>Calzada México Tacuba esquina calle Tláloc Colonia Un Hogar para Nosotros.</t>
  </si>
  <si>
    <t>19°26′30″N 99°9′40″W﻿ / ﻿19.441706, -99.161096</t>
  </si>
  <si>
    <t>19°26′40″N 99°10′3″W﻿ / ﻿19.4444, -99.1674</t>
  </si>
  <si>
    <t>El ícono de la estación corresponde a la estructura original de la Benemérita Escuela Nacional de Maestros, cuya torre principal fue demolida tras quedar seriamente dañada por el sismo de 1957.</t>
  </si>
  <si>
    <t>El icono de la estación corresponde a la puerta de la Casa de los Mascarones, antigua residencia colonial ubicada a unos metros de la entrada a la estación.</t>
  </si>
  <si>
    <t>Ribera de San Cosme esquina con Rosas Moreno, colonia San Rafael.</t>
  </si>
  <si>
    <t>Ribera de San Cosme esquina con 1ª calle de Naranjo Colonia Santa María la Ribera.</t>
  </si>
  <si>
    <t>Calle Puente de Alvarado Colonia Tabacalera.</t>
  </si>
  <si>
    <t>Calle Puente de Alvarado esquina con B. de Sahagun Colonia Buenavista.</t>
  </si>
  <si>
    <t>Calle Puente de Alvarado Colonia Buenavista.</t>
  </si>
  <si>
    <t>19°26′14″N 99°8′50″W﻿ / ﻿19.437295, -99.147105</t>
  </si>
  <si>
    <t>El ícono de la estación representa la silueta del cura Miguel Hidalgo, héroe de la Independencia Mexicana.</t>
  </si>
  <si>
    <t>Reforma esquina Basilio Vadillo Col. Tabacalera.</t>
  </si>
  <si>
    <t>Avenida Hidalgo esquina Héroes (Iglesia San Hipólito) Col. Tabacalera.</t>
  </si>
  <si>
    <t>Avenida Balderas esquina Reforma (Cinemas Cine México) Col. Tabacalera.</t>
  </si>
  <si>
    <t>Eje de Guerrero Col. Guerrero. (sur)</t>
  </si>
  <si>
    <t>Eje de Guerrero Col. Guerrero. (norte)</t>
  </si>
  <si>
    <t>Avenida Hidalgo y Balderas Colonia Centro.</t>
  </si>
  <si>
    <t>Reforma y Avenida Hidalgo Colonia Centro.</t>
  </si>
  <si>
    <t>Avenida Hidalgo y Alameda Central Colonia Centro.</t>
  </si>
  <si>
    <t>19°26′11″N 99°8′31″W﻿ / ﻿19.436243, -99.141945</t>
  </si>
  <si>
    <t>El ícono de la estación representa una imagen estilizada del Palacio de Bellas Artes.</t>
  </si>
  <si>
    <t>Avenida Hidalgo y Parque de la Alameda Col. Centro. (Sur)</t>
  </si>
  <si>
    <t>Avenida Hidalgo y Parque de la Alameda Col. Centro.(Suroriente)</t>
  </si>
  <si>
    <t>Cerrada 2 de abril y Avenida Hidalgo (junto al Teatro Hidalgo) Col. Guerrero.</t>
  </si>
  <si>
    <t>Avenida Hidalgo y Palacio de Bellas Artes Col. Centro.</t>
  </si>
  <si>
    <t>Plaza Juárez</t>
  </si>
  <si>
    <t>19°26′8″N 99°8′15″W﻿ / ﻿19.435514, -99.137406</t>
  </si>
  <si>
    <t>El ícono de la estación representa el busto de Ignacio Allende.</t>
  </si>
  <si>
    <t>2 salidas en Calle Tacuba Col. Centro.</t>
  </si>
  <si>
    <t>Una particularidad de la estación Allende es que sus dos plataformas que sirven a cada uno de los sentidos de la línea no están conectadas entre sí en el interior de la estación, para ir de una a otra es necesario salir de la estación, cruzar la calle e ingresar por el otro sentido, para lo cual es necesario comprar un nuevo boleto o se recomienda irse a la estación que sería Bellas Artes o Zócalo sin necesidad de pagar otro boleto.</t>
  </si>
  <si>
    <t>19°25′60″N 99°7′58″W﻿ / ﻿19.433248, -99.1329</t>
  </si>
  <si>
    <t>Palacio Nacional Colonia Centro.</t>
  </si>
  <si>
    <t>Plaza de la Constitución Colonia Centro.</t>
  </si>
  <si>
    <t>Avenida Pino Suárez esquina Corregidora (junto a la Suprema Corte de Justicia) Colonia Centro.</t>
  </si>
  <si>
    <t>Avenida Pino Suárez casi esquina Venustiano Carranza Colonia Centro.</t>
  </si>
  <si>
    <t>Palacio casi esquina calle Moneda Colonia Centro.</t>
  </si>
  <si>
    <t>Catedral Metropolitana de la Ciudad de México.</t>
  </si>
  <si>
    <t>El ícono de la estación, representa la silueta del Escudo Nacional de México.</t>
  </si>
  <si>
    <t>19°25′7″N 99°8′3″W﻿ / ﻿19.418597, -99.134145</t>
  </si>
  <si>
    <t>El símbolo de la estación representa la silueta del fraile San Antonio Abad de Egipto que nació cerca de Menfís, aproximadamente en el año 251.</t>
  </si>
  <si>
    <t>Entre calle Gutiérrez Nájera, calle Alfredo Chavero y Avenida San Antonio Abad Colonia Tránsito.</t>
  </si>
  <si>
    <t>Entre calle M. Flores, calle José Joaquín Arriaga y Avenida San Antonio Abad Colonia Obrera.</t>
  </si>
  <si>
    <t>19°24′23″N 99°8′9″W﻿ / ﻿19.406438, -99.135754</t>
  </si>
  <si>
    <t>El ícono de la estación representa un chabacano, debido a la cantidad de árboles de chabacano que había en los terrenos baldíos al crearse las colonias Asturias y Vista Alegre.</t>
  </si>
  <si>
    <t>Juan A. Mateos esquina Vicente Beristain Colonia Vista Alegre.</t>
  </si>
  <si>
    <t>Por línea 8 al Norte</t>
  </si>
  <si>
    <t>Por línea 8 al Surponiente</t>
  </si>
  <si>
    <t>Calzada Chabacano y J. Antonio Torres X. Colonia Vista Alegre.</t>
  </si>
  <si>
    <t>Calzada Chabacano y Francisco Ayala Colonia Ampliación Asturias.</t>
  </si>
  <si>
    <t>Por línea 9 al Surponiente</t>
  </si>
  <si>
    <t>Entre calle Manuel Caballero, calle Antonio Solís y Avenida San Antonio Abad Colonia Obrera.</t>
  </si>
  <si>
    <t>Por línea 2 al Poniente</t>
  </si>
  <si>
    <t>Entre calle Juan A. Mateos, Calzada Chabacano y Avenida San Antonio Abad Colonia Vista Alegre.</t>
  </si>
  <si>
    <t>Por línea 2 al Oriente</t>
  </si>
  <si>
    <t>19°24′3″N 99°8′13″W﻿ / ﻿19.400808, -99.136891</t>
  </si>
  <si>
    <t>El ícono de la estación representa el trébol de las confluencias del viaducto.</t>
  </si>
  <si>
    <t>Entre calle Coruña, Calzada Santa Anita y Calzada de Tlalpan Colonia Viaducto Piedad.</t>
  </si>
  <si>
    <t>Entre calle Fernando, Segovia y Calzada de Tlalpan Colonia Álamos.</t>
  </si>
  <si>
    <t>19°23′43″N 99°8′16″W﻿ / ﻿19.3952, -99.1377</t>
  </si>
  <si>
    <t>El icono de la estación representa una palmera.</t>
  </si>
  <si>
    <t>Entre calle Juana de Arco, Napoleón y Calzada de Tlalpan Colonia Moderna.</t>
  </si>
  <si>
    <t>Entre calle Xola, Eje 4 sur y Calzada de Tlalpan Colonia Álamos.</t>
  </si>
  <si>
    <t>19°23′15″N 99°8′20″W﻿ / ﻿19.38753, -99.138994</t>
  </si>
  <si>
    <t>Calle Plaza Victoria y Calzada de Tlalpan Colonia Villa de Cortés.</t>
  </si>
  <si>
    <t>El ícono de la estación representa el casco de un oficial de la época de la conquista.</t>
  </si>
  <si>
    <t>19°22′46″N 99°8′25″W﻿ / ﻿19.379474, -99.140217</t>
  </si>
  <si>
    <t>El ícono de la estación es una trajinera. Que hace referencia al lago que existió ahí en otro tiempo, cuando sus habitantes de origen prehispánico cosechaban en chinampas.</t>
  </si>
  <si>
    <t>Avenida Don Luis, calle Lago y Calzada de Tlalpan Col. Nativitas.</t>
  </si>
  <si>
    <t>Calle Lago Poniente y Privada de Lago y Calzada de Tlalpan Col. Lago.</t>
  </si>
  <si>
    <t>19°22′11″N 99°8′30″W﻿ / ﻿19.3698, -99.1416</t>
  </si>
  <si>
    <t>El ícono de la estación representa la silueta de un portal (arco que corona una entrada).</t>
  </si>
  <si>
    <t>Entre calle Hamburgo, calle Víctor Hugo y Calzada de Tlalpan Col. Albert.</t>
  </si>
  <si>
    <t>Entre calle Sta. Cruz, calle Víctor Hugo y Calzada de Tlalpan Col. Portales.</t>
  </si>
  <si>
    <t>19°21′43″N 99°8′35″W﻿ / ﻿19.361883, -99.142942</t>
  </si>
  <si>
    <t>Entre Avenida Pirineos, Avenida Repúblicas y Calzada de Tlalpan Col. Miravalle.</t>
  </si>
  <si>
    <t>Entre Avenida Pirineos, Avenida Repúblicas y Calzada de Tlalpan Col. Portales.</t>
  </si>
  <si>
    <t>El icono de la estación representa la silueta de una ermita.</t>
  </si>
  <si>
    <t>19°21′12″N 99°8′42″W﻿ / ﻿19.353259, -99.145002</t>
  </si>
  <si>
    <t>El ícono de la estación representa la figura en silueta del general Pedro María Anaya, quien en 1847, libró la Batalla de Churubusco en el exconvento localizado a 2 cuadras de la estación.</t>
  </si>
  <si>
    <t>Entre calle de Corredores, Ciclistas y Calzada de Tlalpan Col. Country Club.</t>
  </si>
  <si>
    <t>Entre calle 20 de agosto, callejón General Anaya y Calzada de Tlalpan Col. Churubusco.</t>
  </si>
  <si>
    <t>Museo Nacional de las Intervenciones</t>
  </si>
  <si>
    <t>19°20′39″N 99°8′34″W﻿ / ﻿19.344168, -99.142685</t>
  </si>
  <si>
    <t>El ícono de la estación es una luna.</t>
  </si>
  <si>
    <t>Entre Avenida Taxqueña, Canal de Miramontes y Calzada de Tlalpan, en la colonia Campestre Churubusco.</t>
  </si>
  <si>
    <t>Entre calle Cerro de Jesús y Canal de Miramontes colonia Campestre Churubusco.</t>
  </si>
  <si>
    <t>Logo : El ícono de la estación representa la silueta de la estructura correspondiente a la cúpula de lo que fue el Toreo de Cuatro Caminos.</t>
  </si>
  <si>
    <t>Dirección : Av. Ingenieros Militares y Av. 16 de septiembre. Col. Argentina Poniente y Transmisiones. Municipio de Naucalpan de Juárez, Estado de México.</t>
  </si>
  <si>
    <t>Salida Norte: Avenida 16 de septiembre Colonia Transmisiones.</t>
  </si>
  <si>
    <t>Salida Sur: Avenida Ingenieros Militares (entrada para transporte público) Colonia Argentina Poniente.</t>
  </si>
  <si>
    <t>Logo : Su logotipo representa la cruz de una tumba.</t>
  </si>
  <si>
    <t>Dirección : Czda. San Bartolo Naucalpan esq. Lago Fontana. Col. Argentina. Miguel Hidalgo, México D.F.</t>
  </si>
  <si>
    <t>Salida Surponiente: Calzada San Bartolo Naucalpan esquina calle Lago Fontana Colonia Argentina.</t>
  </si>
  <si>
    <t>Salida Suroriente: Calzada San Bartolo Naucalpan esquina calle Lago Buenos Aires Colonia Argentina.</t>
  </si>
  <si>
    <t>Salida Norte: Calzada San Bartolo Naucalpan entrada a panteones de Monte Sinaí, Alemán y Español Colonia Argentina.</t>
  </si>
  <si>
    <t>Logo : El ícono de la estación estpa formado por tres flores, que representan el significado de nombre, del náhuatl "Tlacopan", que significa "tierra florida".</t>
  </si>
  <si>
    <t>Dirección : Czada. México-Tacuba. Col. Tacuba. Del. Miguel Hidalgo, México D.F.</t>
  </si>
  <si>
    <t>Salida Por línea 2 al Surponiente: Plaza de locales comerciales y paraderos Colonia Tacuba.</t>
  </si>
  <si>
    <t>Salida Por línea 2 al Suroriente: Parroquia de San Miguel Arcángel Colonia Tacuba.</t>
  </si>
  <si>
    <t>Salida Por línea 2 al Norte: Calzada México Tacuba s/n Colonia Tacuba.</t>
  </si>
  <si>
    <t>Salida Por línea 7 al Oriente: Calzada Mexico-Tacuba y Golfo de Bengala Colonia Tacuba.</t>
  </si>
  <si>
    <t>Salida Por línea 7 al Poniente: Golfo de México y Golfo de Bengala Colonia Tacuba.</t>
  </si>
  <si>
    <t>Logo : El ícono de la estación hace refencia al escudo que solían usar los guerreros mexicas, cuya gesta más heroica, la "Noche Triste", ocurrió a unos metros de la ubicación actual de la estación. Esa batalla fue ganada por Cuitláhuac.</t>
  </si>
  <si>
    <t>Dirección : Czda. México-Tacuba casi esq. con Pocito. Col. Popotla. Del. Miguel Hidalgo, México D.F.</t>
  </si>
  <si>
    <t>Salida : Calzada México Tacuba s/n casi esquina con Avenida Cuitláhuac Colonia Popotla.</t>
  </si>
  <si>
    <t>Salida : Calzada México Tacuba s/n, casi esquina con Avenida Cuitláhuac Colonia San Álvaro.</t>
  </si>
  <si>
    <t>Logo : El ícono de la estación representa el ahuehuete conocido como árbol de la Noche triste donde, según la leyenda, Hernán Cortés lloro su derrota ante los mexicas.</t>
  </si>
  <si>
    <t>Dirección : Czda. México-Tacuba y Colegio Militar. Col. Popotla. Miguel Hidalgo, México D.F.</t>
  </si>
  <si>
    <t>Salida : Calzada México-Tacuba esquina con calle Colegio Militar Colonia Popotla.</t>
  </si>
  <si>
    <t>Salida : Calzada México-Tacuba esquina con callejón de la Zanja Colonia Popotla.</t>
  </si>
  <si>
    <t>Logo : El ícono de la estación representa la silueta del escudo del Heroico Colegio Militar, ya que se encuentra a un costado del viejo Colegio Militar de Popotla.</t>
  </si>
  <si>
    <t xml:space="preserve">Dirección : Calz. México-Tacuba y Felipe Carrillo Puerto. Col. Anáhuac. Del. Miguel Hidalgo, México D.F. </t>
  </si>
  <si>
    <t>Salida : Calzada Tacuba esquina con Carrillo Puerto Colonia Anáhuac.</t>
  </si>
  <si>
    <t>Salida : Calzada México Tacuba No. 235 Colonia Un Hogar para Nosotros.</t>
  </si>
  <si>
    <t>Logo : El ícono de la estación corresponde a la estructura original de la Benemérita Escuela Nacional de Maestros, cuya torre principal fue demolida tras quedar seriamente dañada por el sismo de 1957.</t>
  </si>
  <si>
    <t xml:space="preserve">Dirección : Czda. México-Tacuba y Av. de los Maestros. Col. Tlaxpana. Del. Miguel Hidalgo, México D.F. </t>
  </si>
  <si>
    <t>Salida : Calzada México Tacuba esquina con Avenida de los Maestros Colonia Tlaxpana.</t>
  </si>
  <si>
    <t>Salida : Calzada México Tacuba esquina calle Tláloc Colonia Un Hogar para Nosotros.</t>
  </si>
  <si>
    <t>Logo : El icono de la estación corresponde a la puerta de la Casa de los Mascarones, antigua residencia colonial ubicada a unos metros de la entrada a la estación.</t>
  </si>
  <si>
    <t>Dirección : Ribera de San Cosme casi esq. con Rosas Moreno. Col. Santa María la Ribera. Del. Cuauhtémoc, México D.F.</t>
  </si>
  <si>
    <t>Salida : Ribera de San Cosme esquina con Rosas Moreno, colonia San Rafael.</t>
  </si>
  <si>
    <t>Salida : Ribera de San Cosme esquina con 1ª calle de Naranjo Colonia Santa María la Ribera.</t>
  </si>
  <si>
    <t>Logo : El ícono de la estación está formado por la silueta del Monumento de la Revolución Mexicana, situada en las cercanías de la estción.</t>
  </si>
  <si>
    <t xml:space="preserve">Dirección : Av. Puerte de Alvarado casi esq. con Ponciano Arriaga. Col. Tabacalera. Del. Cuauhtémoc, México D.F. </t>
  </si>
  <si>
    <t>Salida : Calle Puente de Alvarado Colonia Tabacalera.</t>
  </si>
  <si>
    <t>Salida : Calle Puente de Alvarado esquina con B. de Sahagun Colonia Buenavista.</t>
  </si>
  <si>
    <t>Salida : Calle Puente de Alvarado Colonia Buenavista.</t>
  </si>
  <si>
    <t xml:space="preserve"> : Revolución estación del Metrobús (Ciudad de México)</t>
  </si>
  <si>
    <t xml:space="preserve"> : CENAFER (Centro Nacional de Ferias) en José María Lafragua y la bifurcación de la Av. de la República</t>
  </si>
  <si>
    <t>Logo : El ícono de la estación representa la silueta del cura Miguel Hidalgo, héroe de la Independencia Mexicana.</t>
  </si>
  <si>
    <t>Dirección : Paseo de la Reforma, Av. Hidalgo y Av. Balderas. Col. Guerrero, Col. Centro. Del. Cuauhtémoc, México D.F.</t>
  </si>
  <si>
    <t>Salida : Reforma esquina Basilio Vadillo Col. Tabacalera.</t>
  </si>
  <si>
    <t>Salida : Avenida Hidalgo esquina Héroes (Iglesia San Hipólito) Col. Tabacalera.</t>
  </si>
  <si>
    <t>Salida : Avenida Balderas esquina Reforma (Cinemas Cine México) Col. Tabacalera.</t>
  </si>
  <si>
    <t>Salida : Eje de Guerrero Col. Guerrero. (sur)</t>
  </si>
  <si>
    <t>Salida : Eje de Guerrero Col. Guerrero. (norte)</t>
  </si>
  <si>
    <t>Salida : Avenida Hidalgo y Balderas Colonia Centro.</t>
  </si>
  <si>
    <t>Salida : Reforma y Avenida Hidalgo Colonia Centro.</t>
  </si>
  <si>
    <t>Salida : Avenida Hidalgo y Alameda Central Colonia Centro.</t>
  </si>
  <si>
    <t xml:space="preserve"> : SHCP (Secretaría de Hacienda y Crédito Público) en el triángulo formado por Valerio Trujano, Av. Hidalgo y Paseo de la Reforma.</t>
  </si>
  <si>
    <t xml:space="preserve"> : Centro Cultural SHCP al sur de la secretaría.</t>
  </si>
  <si>
    <t xml:space="preserve"> : Hotel Cortés en la esquina de Paseo de la Reforma y Av. Hidalgo.</t>
  </si>
  <si>
    <t xml:space="preserve"> : Centro Cultural José Martí en la esquina de Dr. Mora y Av. Hidalgo.</t>
  </si>
  <si>
    <t xml:space="preserve"> : Laboratorio Arte Alameda (antes Pinacoteca Virreinal) al sur del mencionado centro cultural.</t>
  </si>
  <si>
    <t xml:space="preserve"> : Museo Mural Diego Rivera en la calle Colón.</t>
  </si>
  <si>
    <t xml:space="preserve"> : Glorieta Simón Bolívar conformado por los cruces de Paseo de la Reforma y las calles Pedro Moreno, Lerdo, Obispo, Violeta y Valerio Trujano.</t>
  </si>
  <si>
    <t xml:space="preserve"> : PGR (Procuraduría General de la República) al suroeste de la glorieta Simon Bolívar.</t>
  </si>
  <si>
    <t xml:space="preserve"> : Iglesia de San Hipólito en el cruce de Paseo de la Reforma, Av. Hidalgo y Zarco.</t>
  </si>
  <si>
    <t xml:space="preserve"> : Iglesia, Panteón y Plaza de San Fernando en Eje 1 Pte. Rosales entre las calles de Mina y Puente de Alvarado.</t>
  </si>
  <si>
    <t xml:space="preserve"> : Lotería Nacional o Edificio El Moro en el cruce de Av. de la República, Eje 1 Pte. Rosales y Paseo de la Reforma.</t>
  </si>
  <si>
    <t xml:space="preserve"> : Museo Nacional de San Carlos en Puente de Alvarado entre las calles de José Emparán y M. Ramos Arizpe.</t>
  </si>
  <si>
    <t>Logo : El ícono de la estación representa una imagen estilizada del Palacio de Bellas Artes.</t>
  </si>
  <si>
    <t xml:space="preserve">Dirección : Eje Central Lázaro Cárdenas y Av. Hidalgo-Tacuba. Del.  Cuauhtémoc, México D.F. </t>
  </si>
  <si>
    <t>Salida : Avenida Hidalgo y Parque de la Alameda Col. Centro. (Sur)</t>
  </si>
  <si>
    <t>Salida : Avenida Hidalgo y Parque de la Alameda Col. Centro.(Suroriente)</t>
  </si>
  <si>
    <t>Salida : Cerrada 2 de abril y Avenida Hidalgo (junto al Teatro Hidalgo) Col. Guerrero.</t>
  </si>
  <si>
    <t>Salida : Avenida Hidalgo y Palacio de Bellas Artes Col. Centro.</t>
  </si>
  <si>
    <t xml:space="preserve"> : Palacio de Bellas Artes en Av. Juárez entre el corredor peatonal Ángela Peralta y el Eje Central Lázaro Cárdenas</t>
  </si>
  <si>
    <t xml:space="preserve"> : Torre Latinoamericana en la esquina de Eje Central Lázaro Cárdenas y Francisco I. Madero (aunque este edificio sea el logo de la estación San Juan de Letrán, el edificio está más cerca de esta estación).</t>
  </si>
  <si>
    <t xml:space="preserve"> : Sanborns (Casa de los Azulejos) en la esquina del corredor Condesa y Francisco I. Madero</t>
  </si>
  <si>
    <t xml:space="preserve"> : Iglesia de San Francisco enfrente de la mencionada sucursal de Sanborns</t>
  </si>
  <si>
    <t xml:space="preserve"> : Banco de México (BANXICO) en 5 de mayo entre Eje Central Lázaro Cárdenas y el corredor Condesa</t>
  </si>
  <si>
    <t xml:space="preserve"> : Correos en la esquina de Tacuba y el Eje Central Lázaro Cárdenas</t>
  </si>
  <si>
    <t xml:space="preserve"> : Palacio de Minería en Tacuba entre el corredor Marconi y la cerrada Xicotencatl</t>
  </si>
  <si>
    <t xml:space="preserve"> : Plaza Manuel Tolsá enfrente del mencionado palacio</t>
  </si>
  <si>
    <t xml:space="preserve"> : Monumento a Carlos IV en la mencionada plaza</t>
  </si>
  <si>
    <t xml:space="preserve"> : Museo Nacional de Arte también en la mencionada plaza</t>
  </si>
  <si>
    <t xml:space="preserve"> : Plaza y Capilla de la Concepción Cuepopan en la esquina de Belisario Domínguez y la calle homogénea.</t>
  </si>
  <si>
    <t xml:space="preserve"> : Teatro Blanquita en Eje Central Lázaro Cárdenas entre Belisario Domínguez y República de Chile</t>
  </si>
  <si>
    <t xml:space="preserve"> : Teatro Hidalgo en la esquina de el corredor 2 de abril y Av. Hidalgo</t>
  </si>
  <si>
    <t xml:space="preserve"> : Templo de la Santa Veracruz en el otro lado de la misma esquina</t>
  </si>
  <si>
    <t xml:space="preserve"> : Alameda Central rodeado por las calles Dr. Mora, Av. Juárez, Av. Hidalgo y el corredor Ángela Peralta</t>
  </si>
  <si>
    <t xml:space="preserve"> : Museo de la Estampa en la esquina de Donceles y el 1er. callejón de San Juan de Dios</t>
  </si>
  <si>
    <t xml:space="preserve"> : Museo Franz Mayer al sur del 2do. callejón de San Juan de Dios</t>
  </si>
  <si>
    <t xml:space="preserve"> : Iglesia de San Juan de Dios en la esquina de Av. Hidalgo y Valerio Trujillo</t>
  </si>
  <si>
    <t xml:space="preserve"> : Museo de Artes e Industrias Populares.</t>
  </si>
  <si>
    <t xml:space="preserve"> : Plaza Juárez</t>
  </si>
  <si>
    <t xml:space="preserve"> : Barrio Chino en el callejón de Dolores.</t>
  </si>
  <si>
    <t>Logo : El ícono de la estación representa el busto de Ignacio Allende.</t>
  </si>
  <si>
    <t>Dirección : C. Tacuba y Motolinía. Col. Centro. Del. Cuauhtémoc, México D.F.</t>
  </si>
  <si>
    <t>Salida : 2 salidas en Calle Tacuba Col. Centro.</t>
  </si>
  <si>
    <t>Salida : 2 salidas en Calle Tacuba esquina calle Motolinia Col. Centro.</t>
  </si>
  <si>
    <t xml:space="preserve"> : Antigua Joyería La Esmeralda, en la esquina de Isabel La Católica y Francisco I. Madero;</t>
  </si>
  <si>
    <t xml:space="preserve"> : Casa de los Condes de Miravalle, en Isabel La Católica entre 16 de Septiembre y Francisco I. Madero;</t>
  </si>
  <si>
    <t xml:space="preserve"> : Casino Español, enfrente de la mencionada casa;</t>
  </si>
  <si>
    <t xml:space="preserve"> : Casa Boker, en la esquina de 16 de Septiembre e Isabel La Católica;</t>
  </si>
  <si>
    <t xml:space="preserve"> : Consejo del Centro Histórico de la Ciudad de México, en la esquina de República de Chile y Donceles;</t>
  </si>
  <si>
    <t xml:space="preserve"> : Teatro de la Ciudad Esperanza Iris, en Donceles entre Allende y República de Chile;</t>
  </si>
  <si>
    <t xml:space="preserve"> : Teatro Fru-Fru, en la calle de Donceles, propiedad de la actriz Irma Serrano;</t>
  </si>
  <si>
    <t xml:space="preserve"> : Palacio Legislativo de Donceles, sede de la Asamblea Legislativa del Distrito Federal, en la esquina de Donceles y Allende;</t>
  </si>
  <si>
    <t xml:space="preserve"> : Teatro Lírico, en República de Cuba entre Allende y República de Chile;</t>
  </si>
  <si>
    <t xml:space="preserve"> : ESIME-IPN Centro (antes Templo y Ex Convento de San Lorenzo), en la esquina de Allende y Belisario Domínguez;</t>
  </si>
  <si>
    <t xml:space="preserve"> : Palacio del Senado de México, en Donceles y el corredor peatonal Filomeno Mata;</t>
  </si>
  <si>
    <t xml:space="preserve"> : Museo del Ejército, en la esquina de Filomeno Mata y Tacuba;</t>
  </si>
  <si>
    <t xml:space="preserve"> : Club de Periodistas, en Filomeno Mata entre Tacuba y 5 de Mayo;</t>
  </si>
  <si>
    <t xml:space="preserve"> : Palacio de Iturbide, en Francisco I. Madero entre Filomeno Mata y Bolívar;</t>
  </si>
  <si>
    <t xml:space="preserve"> : Antiguo Colegio de Niñas, en Bolívar entre 16 de Septiembre y Venustiano Carranza, frente al parque del mismo nombre;</t>
  </si>
  <si>
    <t xml:space="preserve"> : Museo Scotiabank de Textiles (antes Museo Serfin de Textiles), en Francisco I. Madero entre el corredor peatonal Motolinia y Bolívar;</t>
  </si>
  <si>
    <t xml:space="preserve"> : Bazar de Fotografía Casasola, en Francisco I. Madero y Bolívar;</t>
  </si>
  <si>
    <t xml:space="preserve"> : Pinacoteca La Profesa, en Francisco I. Madero y calle Isabel La Católica;</t>
  </si>
  <si>
    <t xml:space="preserve"> : Casa de los Condes de San Mateo de Valparaíso, en la esquina de Isabel La Católica y Venustiano Carranza;</t>
  </si>
  <si>
    <t xml:space="preserve"> : Biblioteca del Congreso, en la esquina de Tacuba y Allende;</t>
  </si>
  <si>
    <t xml:space="preserve"> : Restaurante Café de Tacuba, en la calle del mismo nombre.</t>
  </si>
  <si>
    <t>Logo : El ícono de la estación, representa la silueta del Escudo Nacional de México.</t>
  </si>
  <si>
    <t xml:space="preserve">Dirección : Plaza de la Constitución. Col. Centro. Del. Cuauhtémoc, México D.F. </t>
  </si>
  <si>
    <t>Salida Oriente: Palacio Nacional Colonia Centro.</t>
  </si>
  <si>
    <t>Salida Poniente: Plaza de la Constitución Colonia Centro.</t>
  </si>
  <si>
    <t>Salida Suroriente: Avenida Pino Suárez esquina Corregidora (junto a la Suprema Corte de Justicia) Colonia Centro.</t>
  </si>
  <si>
    <t>Salida Surponiente: Avenida Pino Suárez casi esquina Venustiano Carranza Colonia Centro.</t>
  </si>
  <si>
    <t>Salida Nororiente: Palacio casi esquina calle Moneda Colonia Centro.</t>
  </si>
  <si>
    <t>Salida Norponiente: Catedral Metropolitana de la Ciudad de México.</t>
  </si>
  <si>
    <t xml:space="preserve"> : La estación Zócalo está conectada con la siguiente estación, Pino Suárez por un pasaje peatonal donde hay exposiciones artísticas, librerías, cafeterías y un minicinema. Para guardar la estética colonial de su entorno, la estación Zócalo es la única que no cuenta con señalamientos elevados en sus entradas.</t>
  </si>
  <si>
    <t xml:space="preserve"> : Casa de los condes de la Torre Cossío y de la Cortina, en la esquina de las calles República de Uruguay y 20 de noviembre;</t>
  </si>
  <si>
    <t xml:space="preserve"> : Templo de Portacoeli, en Venustiano Carranza entre las peatonales Tabaqueros y Paseo Yucatán;</t>
  </si>
  <si>
    <t xml:space="preserve"> : Iglesia de San Bernardino, en Venustiano Carranza y 20 de noviembre;</t>
  </si>
  <si>
    <t xml:space="preserve"> : Templo de Balvanera, en Correo Mayor y República de Uruguay;</t>
  </si>
  <si>
    <t xml:space="preserve"> : Iglesia de San Agustín (Antigua Biblioteca Nacional), en Isabel La Católica y República de Uruguay;</t>
  </si>
  <si>
    <t xml:space="preserve"> : Suprema Corte de Justicia de la Nación, en Pino Suárez y el corredor peatonal Corregidora;</t>
  </si>
  <si>
    <t xml:space="preserve"> : Departamento del Distrito Federal (DDF), al sur de la Plaza de la Constitución del lado este de 20 de noviembre;</t>
  </si>
  <si>
    <t xml:space="preserve"> : Antiguo Ayuntamiento del Distrito Federal, al sur de la Plaza de la Constitución del lado oeste de 20 de noviembre;</t>
  </si>
  <si>
    <t xml:space="preserve"> : Hotel de la Ciudad de México, en la esquina suroeste de la Plaza de la Constitución;</t>
  </si>
  <si>
    <t xml:space="preserve"> : Portal de Mercaderes, al oeste de la Plaza de la Constitución;</t>
  </si>
  <si>
    <t xml:space="preserve"> : Palacio Nacional, al este de la Plaza de la Constitución;</t>
  </si>
  <si>
    <t xml:space="preserve"> : Catedral Metropolitana, al norte de Plaza de la Constitución;</t>
  </si>
  <si>
    <t xml:space="preserve"> : Monumento a Enrico Martínez, al oeste de la Catedral Metropolitana;</t>
  </si>
  <si>
    <t xml:space="preserve"> : Iglesia de Jesús María, en la esquina de La Soledad y Jesús María;</t>
  </si>
  <si>
    <t xml:space="preserve"> : Museo de la SHCP, en Moneda y Licenciado Primo de Verdad;</t>
  </si>
  <si>
    <t xml:space="preserve"> : Ex Teresa Arte Actual, en Licenciado Primo de Verdad entre Moneda y República de Guatemala;</t>
  </si>
  <si>
    <t xml:space="preserve"> : Academia de San Carlos, en Academia y Moneda;</t>
  </si>
  <si>
    <t xml:space="preserve"> : Iglesia de Santa Inés, en Academia y Moneda;</t>
  </si>
  <si>
    <t xml:space="preserve"> : Museo José Luis Cuevas, en Moneda cerca de República de Guatemala;</t>
  </si>
  <si>
    <t xml:space="preserve"> : Museo Nacional de las Culturas, al oeste del Palacio Nacional;</t>
  </si>
  <si>
    <t xml:space="preserve"> : Casa de la Primera Imprenta de América, en Moneda y Licenciado Primo de Verdad;</t>
  </si>
  <si>
    <t xml:space="preserve"> : El Antiguo Arzobispado, Moneda y Licenciado Primo de Verdad;</t>
  </si>
  <si>
    <t xml:space="preserve"> : Primera Universidad de América, en la esquina de Moneda y el corredor peatonal Seminario;</t>
  </si>
  <si>
    <t xml:space="preserve"> : El Templo Mayor y el museo en el corredor peatonal Seminario, número 8;</t>
  </si>
  <si>
    <t xml:space="preserve"> : Sociedad Mexicana de Geografía y Estadística (SGME), al norte del Templo Mayor;</t>
  </si>
  <si>
    <t xml:space="preserve"> : Nacional Monte de Piedad, en 5 de mayo y Monte de Piedad;</t>
  </si>
  <si>
    <t xml:space="preserve"> : Templo de Santa Teresa La Nueva, en la esquina de San Ildefonso y Loreto;</t>
  </si>
  <si>
    <t xml:space="preserve"> : Plaza Loreto, rodeada por las calles San Ildefonso, Justo Sierra y Loreto;</t>
  </si>
  <si>
    <t xml:space="preserve"> : Templo de Loreto, al norte de la plaza homónima;</t>
  </si>
  <si>
    <t xml:space="preserve"> : Museo de la Luz, en San Ildefonso y Del Carmen;</t>
  </si>
  <si>
    <t xml:space="preserve"> : Antiguo Colegio de San Ildefonso, en Justo Sierra entre Correo Mayor y Seminario;</t>
  </si>
  <si>
    <t xml:space="preserve"> : Antigua Escuela de Jurisprudencia, en la esquina de República de Argentina y el corredor peatonal González Obregón;</t>
  </si>
  <si>
    <t xml:space="preserve"> : Mercado Abelardo Rodríguez, en Rodríguez Puebla entre General Miguel Alemán y el callejón de Girón;</t>
  </si>
  <si>
    <t xml:space="preserve"> : Teatro del Pueblo, en República de Venezuela entre Del Carmen y Rodríguez Puebla;</t>
  </si>
  <si>
    <t xml:space="preserve"> : Museo de la Medicina Mexicana, en República de Brasil y República de Venezuela;</t>
  </si>
  <si>
    <t xml:space="preserve"> : Iglesia de Santo Domingo, en el inicio de República de Colombia;</t>
  </si>
  <si>
    <t xml:space="preserve"> : Plaza de Santo Domingo, en República de Venezuela entre República de Brasil y Palma Norte;</t>
  </si>
  <si>
    <t xml:space="preserve"> : Secretaría de Educación Pública (antes Convento de la Encarnación), en Luis Gonzalez Obregón y República de Brasil;</t>
  </si>
  <si>
    <t xml:space="preserve"> : Antigua Aduana, en González Obregón y República de Brasil;</t>
  </si>
  <si>
    <t xml:space="preserve"> : Iglesia de la Enseñanza, en Donceles entre República de Brasil y Seminario;</t>
  </si>
  <si>
    <t xml:space="preserve"> : Museo de la Caricatura, enfrente de la mencionada iglesia.</t>
  </si>
  <si>
    <t>Logo : El ícono de la estación representa la pirámide de Ehécatl (dios del viento), la cual fué descubierta durante las excavaciones para la construcción de la estación y señala el límite sur de la gran Tenochtitlan.</t>
  </si>
  <si>
    <t>Dirección : Avenida José María Izazaga y Pino Suárez. Col. Centro. Del. Cuauhtémoc, México D.F.</t>
  </si>
  <si>
    <t xml:space="preserve"> : Se encuentra conectada con la estación Zócalo a través de un pasaje subterráneo en el que se encuentran librerías y un minicinema. Así mismo tiene un área destinada a exposiciones artísticas temporales.</t>
  </si>
  <si>
    <t xml:space="preserve"> : Templo de San Miguel Arcángel en la esquina de 20 de noviembre y José María Izazaga</t>
  </si>
  <si>
    <t xml:space="preserve"> : Iglesia de San Pedro Apóstol en la calle homónima.</t>
  </si>
  <si>
    <t xml:space="preserve"> : Templo de San José de Gracia en la esquina de la calle Mesones y el callejón del mismo nombre</t>
  </si>
  <si>
    <t xml:space="preserve"> : Hospital de Jesús cerca de la Iglesia con el mismo nombre. Ambos se encuentran en la cuadra que forman las calles República de El Salvador y Mesones y las avenidas 20 de Noviembre y Pino Suárez.</t>
  </si>
  <si>
    <t xml:space="preserve"> : Museo de la Ciudad de México en la esquina de República de El Salvador y Pino Suárez.</t>
  </si>
  <si>
    <t xml:space="preserve"> : Plaza San Salvador cerca del puente que hay entre Eje 1 Sur Fray Servando Teresa de Mier y 20 de Noviembre.</t>
  </si>
  <si>
    <t xml:space="preserve"> : Plaza Tlaxcoaque y la iglesia del mismo nombre en el túnel Tlaxcoaque que une 20 de Noviembre con la Calz. San Antonio Abad.</t>
  </si>
  <si>
    <t xml:space="preserve"> : Hospital Homeopático Nacional en la esquina de las calles Chimalpopoca y 5 de Febrero.</t>
  </si>
  <si>
    <t xml:space="preserve"> : Otra iglesia s/nombre en la esquina de Calz. San Antonio Abad y el callejón del mismo nombre.</t>
  </si>
  <si>
    <t xml:space="preserve"> : Otra iglesia s/nombre 1 al este de la anterior, es decir, en la esquina del callejón San Antonio Abad y la calle de Agustín Delgado.</t>
  </si>
  <si>
    <t>Logo : El símbolo de la estación representa la silueta del fraile San Antonio Abad de Egipto que nació cerca de Menfís, aproximadamente en el año 251.</t>
  </si>
  <si>
    <t>Dirección : Av. San Antonio Abad esq. Manuel M. Flores Col. Obrera y Tránsito. Del. Cuauhtémoc, México D.F.</t>
  </si>
  <si>
    <t>Salida : Entre calle Gutiérrez Nájera, calle Alfredo Chavero y Avenida San Antonio Abad Colonia Tránsito.</t>
  </si>
  <si>
    <t>Salida : Entre calle M. Flores, calle José Joaquín Arriaga y Avenida San Antonio Abad Colonia Obrera.</t>
  </si>
  <si>
    <t xml:space="preserve"> : Centro de enseñanza en la calle Xocongo entre Manuel Gutiérrez Nájera y José María Agreda y Sánchez.</t>
  </si>
  <si>
    <t>Logo : El ícono de la estación representa un chabacano, debido a la cantidad de árboles de chabacano que había en los terrenos baldíos al crearse las colonias Asturias y Vista Alegre.</t>
  </si>
  <si>
    <t>Dirección : Se encuentra en la Calle Juan A. Mateos, Av. San Antonio Abad y Eje 3 Sur "Calzada Chabacano" Col. Vista Alrgre, Obrera
 y Ampliacion Asturias. Del Cuauhtémoc, México D.F.</t>
  </si>
  <si>
    <t>Salida Por línea 2 al Oriente: Entre calle Juan A. Mateos, Calzada Chabacano y Avenida San Antonio Abad Colonia Vista Alegre.</t>
  </si>
  <si>
    <t>Salida Por línea 2 al Poniente: Entre calle Manuel Caballero, calle Antonio Solís y Avenida San Antonio Abad Colonia Obrera.</t>
  </si>
  <si>
    <t>Salida Por línea 8 al Norte: Juan A. Mateos esquina Vicente Beristain Colonia Vista Alegre.</t>
  </si>
  <si>
    <t>Salida Por línea 8 al Suroriente: Juan A. Mateos esquina Vicente Beristain Colonia Vista Alegre.</t>
  </si>
  <si>
    <t>Salida Por línea 8 al Surponiente: Juan A. Mateos esquina Vicente Beristain Colonia Vista Alegre.</t>
  </si>
  <si>
    <t>Salida Por línea 9 al Nororiente: Calzada Chabacano y J. Antonio Torres X. Colonia Vista Alegre.</t>
  </si>
  <si>
    <t>Salida Por línea 9 al Suroriente: Calzada Chabacano y J. Antonio Torres X. Colonia Vista Alegre.</t>
  </si>
  <si>
    <t>Salida Por línea 9 al Norponiente: Calzada Chabacano y Francisco Ayala Colonia Ampliación Asturias.</t>
  </si>
  <si>
    <t>Salida Por línea 9 al Surponiente: Calzada Chabacano y Francisco Ayala Colonia Ampliación Asturias.</t>
  </si>
  <si>
    <t xml:space="preserve"> : Supermercado en Eje 3 Sur Calz. Chabacano entre las calles de José Antonio Torres y J. Sotero Castañeda.</t>
  </si>
  <si>
    <t xml:space="preserve"> : Parque rodeado por las calles José Antonio Torres, Juan A. Mateos, Ramón Fabie y José María Roa Bárcenas.</t>
  </si>
  <si>
    <t>Logo : El ícono de la estación representa el trébol de las confluencias del viaducto.</t>
  </si>
  <si>
    <t>Dirección : Calzada de Tlalpan casi esq. con Segovia. Col. Álamos y Viaducto Piedad. Del. Benito Juárez, México D.F.</t>
  </si>
  <si>
    <t>Salida : Entre calle Coruña, Calzada Santa Anita y Calzada de Tlalpan Colonia Viaducto Piedad.</t>
  </si>
  <si>
    <t>Salida : Entre calle Fernando, Segovia y Calzada de Tlalpan Colonia Álamos.</t>
  </si>
  <si>
    <t xml:space="preserve"> : Jardín Santiago Felipe Xicoténcatl o Parque Álamos rodeado por las calles Castilla, Soria, Cádiz e Isabel La Católica.</t>
  </si>
  <si>
    <t xml:space="preserve"> : Hospital en la esquina nororiental de Viaducto Presidente Miguel Alemán y Calzada de Tlalpan.</t>
  </si>
  <si>
    <t xml:space="preserve"> : Otro hospital en Viaducto Presidente Miguel Alemán, entre las calles de José Antonio Torres y Marcos Carrillo</t>
  </si>
  <si>
    <t>Logo : El icono de la estación representa una palmera.</t>
  </si>
  <si>
    <t>Dirección : Calzada de Tlalpan y Xola (Eje 4 Sur). Col. Moderna y Álamos. Del. Benito Juárez, México D.F.</t>
  </si>
  <si>
    <t>Salida : Entre calle Juana de Arco, Napoleón y Calzada de Tlalpan Colonia Moderna.</t>
  </si>
  <si>
    <t>Salida : Entre calle Xola, Eje 4 sur y Calzada de Tlalpan Colonia Álamos.</t>
  </si>
  <si>
    <t xml:space="preserve"> : Pequeño parque rodeado por las calles Juana de Arco, Miguel Angel y Washington.</t>
  </si>
  <si>
    <t>Logo : El ícono de la estación representa el casco de un oficial de la época de la conquista.</t>
  </si>
  <si>
    <t>Dirección : Calzada de Tlalpan. Col. Villa de Cortés y Niños Heroés de Chapultepec. Del. Benito Juárez, México D.F.</t>
  </si>
  <si>
    <t>Salida : Calle Plaza Victoria y Calzada de Tlalpan Colonia Villa de Cortés.</t>
  </si>
  <si>
    <t>Salida : Calle Guipuzcoa, calle Ahorro Postal y Calzada de Tlalpan Colonia Niños Héroes de Churubusco.</t>
  </si>
  <si>
    <t xml:space="preserve"> : Hospital en Calz. de Tlalpan, cerca de la calle Guipúzcoa</t>
  </si>
  <si>
    <t xml:space="preserve"> : Hospital del IMSS, en la misma calzada, pero cerca de la calle Romero</t>
  </si>
  <si>
    <t xml:space="preserve"> : Parque Victoria, en la bifurcación de la calle Rubén M. Campos</t>
  </si>
  <si>
    <t xml:space="preserve"> : Parque Miguel Alemán, encerrado en las calles Castilla, Almería, Andalucía y Unión Postal.</t>
  </si>
  <si>
    <t xml:space="preserve"> : Fuente Monumental de estilo Art decó en el parque victoria frente a Calz. de Tlalpan.</t>
  </si>
  <si>
    <t>Logo : El ícono de la estación es una trajinera. Que hace referencia al lago que existió ahí en otro tiempo, cuando sus habitantes de origen prehispánico cosechaban en chinampas.</t>
  </si>
  <si>
    <t xml:space="preserve">Dirección : Calzada de Tlalpan. Col. Nativitas y Lago. Del. Benito Juárez, México D.F. </t>
  </si>
  <si>
    <t>Salida : Avenida Don Luis, calle Lago y Calzada de Tlalpan Col. Nativitas.</t>
  </si>
  <si>
    <t>Salida : Calle Lago Poniente y Privada de Lago y Calzada de Tlalpan Col. Lago.</t>
  </si>
  <si>
    <t>Logo : El ícono de la estación representa la silueta de un portal (arco que corona una entrada).</t>
  </si>
  <si>
    <t>Dirección : Calzada de Tlalpan. Col. Portales y Albert. Del. Benito Juárez, México D.F.</t>
  </si>
  <si>
    <t>Salida : Entre calle Hamburgo, calle Víctor Hugo y Calzada de Tlalpan Col. Albert.</t>
  </si>
  <si>
    <t>Salida : Entre calle Sta. Cruz, calle Víctor Hugo y Calzada de Tlalpan Col. Portales.</t>
  </si>
  <si>
    <t xml:space="preserve"> : El depósito y museo del STE (Servicio de Transportes Eléctricos del Distrito Federal) en Eje 7 Sur Municipio Libre</t>
  </si>
  <si>
    <t xml:space="preserve"> : Mercado de Portales en la esquina de Av. 5 de Febrero y Libertad.</t>
  </si>
  <si>
    <t>Logo : El icono de la estación representa la silueta de una ermita.</t>
  </si>
  <si>
    <t>Dirección : Calzada de Tlalpan. Col. Portales y Miravalle. Del. Benito Juárez, México D.F.</t>
  </si>
  <si>
    <t>Salida : Entre Avenida Pirineos, Avenida Repúblicas y Calzada de Tlalpan Col. Miravalle.</t>
  </si>
  <si>
    <t>Salida : Entre Avenida Pirineos, Avenida Repúblicas y Calzada de Tlalpan Col. Portales.</t>
  </si>
  <si>
    <t xml:space="preserve"> : Hospital del ISSSTE en Eje 8 Sur Calz. Ermita Iztapalapa entre las calles de Alfonso Caso y Francisco Rojas González</t>
  </si>
  <si>
    <t>Logo : El ícono de la estación representa la figura en silueta del general Pedro María Anaya, quien en 1847, libró la Batalla de Churubusco en el exconvento localizado a 2 cuadras de la estación.</t>
  </si>
  <si>
    <t>Dirección : Calzada de Tlalpan. Col. Country Club y Churubusco. Del.  Coyoacán, México D.F.</t>
  </si>
  <si>
    <t>Salida : Entre calle de Corredores, Ciclistas y Calzada de Tlalpan Col. Country Club.</t>
  </si>
  <si>
    <t>Salida : Entre calle 20 de agosto, callejón General Anaya y Calzada de Tlalpan Col. Churubusco.</t>
  </si>
  <si>
    <t xml:space="preserve"> : Parque Masayoshi Ohira alrededor de las calles Ciclistas, Country Club, Corredores y Béisbol</t>
  </si>
  <si>
    <t xml:space="preserve"> : Centro de Convenciones del IMSS en Calzada de Tlalpan</t>
  </si>
  <si>
    <t xml:space="preserve"> : Centro Nacional de las Artes (CNA) en Circuito Interior</t>
  </si>
  <si>
    <t xml:space="preserve"> : Pequeño parque en la bifurcación de la calle Héroes del 47.</t>
  </si>
  <si>
    <t xml:space="preserve"> : Plantel número 6 de la ENP "Antonio Caso" en la calle de Corina #3</t>
  </si>
  <si>
    <t xml:space="preserve"> : Centro Histórico de Coyoacán</t>
  </si>
  <si>
    <t xml:space="preserve"> : Museo Nacional de las Intervenciones</t>
  </si>
  <si>
    <t>Logo : El ícono de la estación es una luna.</t>
  </si>
  <si>
    <t>Dirección : Calz. de Tlalpan, Av. Taxqueña y Canal de Miramontes. Col. Campestre Churubusco. Del. Coyoacán, México D.F.</t>
  </si>
  <si>
    <t>Salida : Entre Avenida Taxqueña, Canal de Miramontes y Calzada de Tlalpan, en la colonia Campestre Churubusco.</t>
  </si>
  <si>
    <t>Salida : Entre calle Cerro de Jesús y Canal de Miramontes colonia Campestre Churubusco.</t>
  </si>
  <si>
    <t xml:space="preserve"> : Terminal Central de Autobuses del Sur, con acceso directo desde la estación y por la calzada Taxqueña</t>
  </si>
  <si>
    <t xml:space="preserve"> : Hospital del ISSSTE en calzada de Tlalpan y avenida América.</t>
  </si>
  <si>
    <t xml:space="preserve"> : Glorieta de San Andrés en la que convergen las calles Irlanda, Canadá y América.</t>
  </si>
  <si>
    <t xml:space="preserve">Avenida de Los Insurgentes. Col. Lindavista. Del. Gustavo A. Madero, México D. </t>
  </si>
  <si>
    <t>Avenida Insurgentes Norte Colonia Acueducto de Guadalupe.</t>
  </si>
  <si>
    <t>Avenida Insurgentes Norte Colonia Santa Isabel Tola.</t>
  </si>
  <si>
    <t>19.483747, -99.126549</t>
  </si>
  <si>
    <t>El ícono de la estación muestra dos monumentos en memoria de reyes guerreros mexicas: Itzcóatl y Ahuizotl.</t>
  </si>
  <si>
    <t>El ícono de la estación representa a un jugador de pelota.</t>
  </si>
  <si>
    <t>Insurgentes Norte (calle de Montiel) Colonia Tepeyac Insurgentes.</t>
  </si>
  <si>
    <t>Por línea 3 al Nororiente</t>
  </si>
  <si>
    <t>Por línea 3 al Suroriente</t>
  </si>
  <si>
    <t>Por línea 3 al Norponiente</t>
  </si>
  <si>
    <t>Insurgentes Norte (calle de Ricarte) Colonia Lindavista.</t>
  </si>
  <si>
    <t>Por línea 6 al Norponiente</t>
  </si>
  <si>
    <t>19.47691, -99.132171</t>
  </si>
  <si>
    <t>El ícono de la estación se refiere al perfil de un caballo en su establo o potrero.</t>
  </si>
  <si>
    <t>Avenida Insurgentes Norte casi esquina Excélsior Colonia Guadalupe Insurgentes.</t>
  </si>
  <si>
    <t>Avenida Insurgentes Norte esquina Victoria Colonia Guadalupe Insurgentes.</t>
  </si>
  <si>
    <t>Hospital General La Raza.</t>
  </si>
  <si>
    <t>Iglesia de la Luz del Mundo</t>
  </si>
  <si>
    <t>19.470153, -99.136891</t>
  </si>
  <si>
    <t>El ícono de la estación se compone por la silueta del Monumento a La Raza; conjunto arquitectónico en forma de pirámide prehispánica que conmemora a las culturas que surgieron en el país con anterioridad a la conquista española.</t>
  </si>
  <si>
    <t>Insurgentes Norte Colonia Vallejo.</t>
  </si>
  <si>
    <t>Por línea 3 al Surponiente</t>
  </si>
  <si>
    <t>Insurgentes Norte Colonia Héroes de Nacozari.</t>
  </si>
  <si>
    <t>Leoncavallo, esquina Paganini Colonia Vallejo.</t>
  </si>
  <si>
    <t>Calle Paganini Colonia Vallejo.</t>
  </si>
  <si>
    <t>Por línea 5 al Sur</t>
  </si>
  <si>
    <t>Explanada Unidad Habitacional Tlatelolco.</t>
  </si>
  <si>
    <t>Eje 2 Norte Manuel González, Colonia Unidad Habitacional Nonoalco- Tlatelolco.</t>
  </si>
  <si>
    <t>19.454979, -99.142814</t>
  </si>
  <si>
    <t>El ícono de la estación es el busto del Gral. Vicente Guerrero, héroe de la Independencia de México y segundo Presidente de la República.</t>
  </si>
  <si>
    <t>Zarco y Eje 1 Norte Colonia Guerrero.</t>
  </si>
  <si>
    <t>Zarzo y Eje 1 Norte Colonia Guerrero.</t>
  </si>
  <si>
    <t>Eje 1 Norte, casi esquina con Héroes Colonia Guerrero.</t>
  </si>
  <si>
    <t>Eje 1 Norte, casi esquina con Guerrero Colonia Guerrero.</t>
  </si>
  <si>
    <t>Eje 1 Norte, casi esquina con Guerrero Col Guerrero.</t>
  </si>
  <si>
    <t>Mercado Martínez de la Torre</t>
  </si>
  <si>
    <t>Biblioteca José Vasconcelos</t>
  </si>
  <si>
    <t>19.445146, -99.145389</t>
  </si>
  <si>
    <t>19.433167, -99.147792</t>
  </si>
  <si>
    <t>El ícono de la estación es el busto de Benito Juárez, Presidente de México conocido también como el Benemérito de las Américas.</t>
  </si>
  <si>
    <t>Balderas y Art. 123 Colonia Centro.</t>
  </si>
  <si>
    <t>Balderas y calle Donato Guerrera Colonia Centro</t>
  </si>
  <si>
    <t>Museo de Arte Popular</t>
  </si>
  <si>
    <t>Teatro Metropólitan</t>
  </si>
  <si>
    <t>19.419508, -99.150581</t>
  </si>
  <si>
    <t>El ícono de la estación es un kepi que recuerda el utilizado por los Niños Héroes de Chapultepec rodeada por una corona de olivo.</t>
  </si>
  <si>
    <t>19.413578, -99.153886</t>
  </si>
  <si>
    <t>El ícono de la estación está formado por el símbolo de la Cruz Roja.</t>
  </si>
  <si>
    <t>Dr. Pasteur Colonia Doctores.</t>
  </si>
  <si>
    <t>Hospital General de México</t>
  </si>
  <si>
    <t>El ícono de la estación representa a Caduceo, que es la representación del dios griego de la medicina: Asclepio.</t>
  </si>
  <si>
    <t>19.406637, -99.155753</t>
  </si>
  <si>
    <t>Instalaciones para discapacitados</t>
  </si>
  <si>
    <t>El ícono de la estación es una cabeza de león que se identifica con el país Etiopía y el logotipo del IFAI (Instituto de Acceso a la Información Pública del Distrito Federal) inscrito en la cabeza del León.</t>
  </si>
  <si>
    <t>Norponiente: Eje 1 Poniente Avenida Cuauhtémoc y Eje 4 sur Avenida Xola Colonia Narvarte</t>
  </si>
  <si>
    <t>Suroriente: Eje 1 Poniente Avenida Cuauhtémoc y Avenida Cumbres de Maltrata Colonia Narvarte</t>
  </si>
  <si>
    <t>19.395586, -99.156268</t>
  </si>
  <si>
    <t>El icono de esta estación es una cigüeña relacionado con el nombre Eugenia que significa "la bien nacida".</t>
  </si>
  <si>
    <t>Eje 1 Poniente Avenida Cuauhtémoc y Eje 5 Sur Avenida Eugenia Colonia Vertiz-Narvarte.</t>
  </si>
  <si>
    <t>Eje 1 Poniente Avenida Cuauhtémoc y Eje 5 Sur Avenida Eugenia Colonia del Valle.</t>
  </si>
  <si>
    <t>19.380021, -99.158885</t>
  </si>
  <si>
    <t>Matías Romero poniente Colonia del Valle.</t>
  </si>
  <si>
    <t>Avenida División del Norte Colonia Santa Cruz Atoyac.</t>
  </si>
  <si>
    <t>Avenida Cuauhtémoc y Avenida Universidad Colonia Santa Cruz Atoyac.</t>
  </si>
  <si>
    <t xml:space="preserve">El ícono de la estación representa la escultura en honor a Francisco Villa que se encontraba en el centro de una glorieta al cruce de las Avenidas División del Norte, Universidad y Cuauhtémoc. </t>
  </si>
  <si>
    <t>El ícono de la estación representa el contorno del busto de Emiliano Zapata con su característico sombrero.</t>
  </si>
  <si>
    <t>19.370952, -99.164937</t>
  </si>
  <si>
    <t>Avenida Universidad y Eje 7 Sur Colonia Santa Cruz Atoyac.</t>
  </si>
  <si>
    <t>Avenida Universidad Colonia Santa Cruz Atoyac.</t>
  </si>
  <si>
    <t>Heriberto Frías y Eje 7 sur (Félix Cuevas) Colonia del Valle.</t>
  </si>
  <si>
    <t>19.361417, -99.170709</t>
  </si>
  <si>
    <t>Avenida Universidad y Real Mayorazgo (centro Bancomer) Colonia Xoco.</t>
  </si>
  <si>
    <t>Avenida Universidad y Real Mayorazgo (centro Coyoacán) Colonia Xoco.</t>
  </si>
  <si>
    <t>Martín Mendalde Colonia del Valle.</t>
  </si>
  <si>
    <t>Panteon Xoco</t>
  </si>
  <si>
    <t>IMER</t>
  </si>
  <si>
    <t>Centro Bancomer</t>
  </si>
  <si>
    <t>19.353724, -99.176052</t>
  </si>
  <si>
    <t>Comisión Nacional de Derechos Humanos de México</t>
  </si>
  <si>
    <t>Viveros de Coyoacán</t>
  </si>
  <si>
    <t>Avenida Universidad Colonia Barrio de Santa Catarina.</t>
  </si>
  <si>
    <t>Avenida Universidad esquina Hortensia Colonia Barrio de Santa Catarina.</t>
  </si>
  <si>
    <t>19.346395, -99.18103</t>
  </si>
  <si>
    <t>Avenida Universidad esquina Miguel Ángel de Quevedo Colonia Romero de Terreros.</t>
  </si>
  <si>
    <t>Avenida Universidad Colonia Chimalistac.</t>
  </si>
  <si>
    <t>Capilla de Nuestra Señora de la Soledad del Altillo</t>
  </si>
  <si>
    <t>Museo de la Acuarela</t>
  </si>
  <si>
    <t>Librerias Ghandi y el Sótano</t>
  </si>
  <si>
    <t>Autocinema el Coyote</t>
  </si>
  <si>
    <t>El icono de la estación representa una imagen de la cultura Olmeca del período Preclásico medio (1100 a 600 a. C.) relacionada con la lluvia y fusionada con una serpiente acuática que da como resultado una especie de dragón celeste, convertido más tarde en el Dios del Agua.</t>
  </si>
  <si>
    <t>19.335887, -99.176652</t>
  </si>
  <si>
    <t>Calle Cerro Tres Zapotes y Eje 10 Sur Pedro Henríquez Ureña, Colonia Romeros de Terreros.</t>
  </si>
  <si>
    <t>Calle Cerro Tlapacoya y Eje 10 Sur Pedro Henríquez Ureña, Colonia Romero de Terreros.</t>
  </si>
  <si>
    <t>Eje 10 Sur Pedro Henríquez Ureña, Colonia Romero de Terreros</t>
  </si>
  <si>
    <t>Al interior de los andenes, se localiza la obra del artista mexicano Guillermo Ceniceros, un mural de 1.000 m² de superficie llamado El perfil del tiempo, trabajado con la técnica de acrílico y fibra de vidrio.</t>
  </si>
  <si>
    <t>Avenida Antonio Delfín Madrigal Colonia Pedregal de Santo Domingo.</t>
  </si>
  <si>
    <t>El ícono de la estación representa al escudo de la Universidad Nacional Autónoma de México.</t>
  </si>
  <si>
    <t>TU Tienda UNAM</t>
  </si>
  <si>
    <t>CENAPRED</t>
  </si>
  <si>
    <t>19.324427, -99.17397</t>
  </si>
  <si>
    <t>4    Linea 4     Agua</t>
  </si>
  <si>
    <t>7    Linea 7     Naranja</t>
  </si>
  <si>
    <t>8    Linea 8     Verde C</t>
  </si>
  <si>
    <t>9    Linea 9     Café</t>
  </si>
  <si>
    <t>10    Linea A     Morado</t>
  </si>
  <si>
    <t>19°29′6″N 99°6′16″W﻿ / ﻿19.484921, -99.104404</t>
  </si>
  <si>
    <t>El ícono de la estación está representado por el busto del general Martín Carrera, quien fuera presidente interino de México entre Agosto y septiembre de 1855.</t>
  </si>
  <si>
    <t>Avenida Ferrocarril Hidalgo, Colonia Díaz Mirón.</t>
  </si>
  <si>
    <t>Por línea 4 al Norte</t>
  </si>
  <si>
    <t>Avenida Mariano Arista, esquina San Juan de Aragón, Colonia 15 de Agosto.</t>
  </si>
  <si>
    <t>Por línea 4 al Sur</t>
  </si>
  <si>
    <t>Avenida San Juan de Aragón y Avenida Mariano Arista Colonia Martín Carrera.</t>
  </si>
  <si>
    <t>Por línea 6 al Norte</t>
  </si>
  <si>
    <t>Avenida San Juan de Aragón y Avenida Ferrocarril Hidalgo Colonia Martín Carrera.</t>
  </si>
  <si>
    <t>Por línea 6 al Sur</t>
  </si>
  <si>
    <t>Avenida Mariano Arista por paradero Colonia Martín Carrera.</t>
  </si>
  <si>
    <t>Por línea 4 al Norponiente</t>
  </si>
  <si>
    <t>Hospital General La Villa</t>
  </si>
  <si>
    <t>19°28′27″N 99°6′29″W﻿ / ﻿19.47428, -99.108009</t>
  </si>
  <si>
    <t>El ícono de la estación representa la silueta de un mamut, ya que durante las excavaciones efectuadas para su construcción se encontraron restos óseos de un ejemplar de esta especie.</t>
  </si>
  <si>
    <t>Avenida Congreso de la Unión, esquina Oriente 171, Colonia Ampliación Aragón.</t>
  </si>
  <si>
    <t>Avenida Congreso de la Unión, esquina Talismán, Colonia Granjas Modernas.</t>
  </si>
  <si>
    <t>19°27′53″N 99°6′43″W﻿ / ﻿19.46461, -99.111958</t>
  </si>
  <si>
    <t>El ícono representa una nopalera (cactácea Opuntia ficus-indica).</t>
  </si>
  <si>
    <t>Avenida Congreso de la Unión, esquina Oriente 103, Colonia Tablas de San Agustín.</t>
  </si>
  <si>
    <t>19°27′28″N 99°6′50″W﻿ / ﻿19.457893, -99.113932</t>
  </si>
  <si>
    <t>Avenida Congreso de la Unión esquina Oriente 87, Colonia 20 de Noviembre.</t>
  </si>
  <si>
    <t>Avenida Congreso de la Unión, esquina Oriente 85, Colonia Mártires de Río Blanco.</t>
  </si>
  <si>
    <t>Norte 64-A, esquina Avenida Río Consulado, Colonia 7 de Noviembre.</t>
  </si>
  <si>
    <t>Calle Cuarzo esquina Avenida Río consulado, Colonia Felipe Ángeles.</t>
  </si>
  <si>
    <t>19°26′57″N 99°6′59″W﻿ / ﻿19.449112, -99.116507</t>
  </si>
  <si>
    <t>CECyT 14 del Instituto Politecnico Nacional</t>
  </si>
  <si>
    <t>Avenida Congreso de la Unión, esquina Talabarteros, Colonia Janitzio.</t>
  </si>
  <si>
    <t>Avenida Congreso de la Unión, esquina Talabarteros, Colonia Ampliación Michoacana.</t>
  </si>
  <si>
    <t>19°25′18″N 99°7′14″W﻿ / ﻿19.421633, -99.120541</t>
  </si>
  <si>
    <t>El ícono de la estación es la silueta de Fray Servando Teresa de Mier uno de los héroes de la Independencia de México.</t>
  </si>
  <si>
    <t>Avenida Congreso de la Unión, esquina Fray Servando Teresa de Mier Colonia Aeronáutica Militar.</t>
  </si>
  <si>
    <t>Avenida Congreso de la Unión, esquina Fray Servando Teresa de Mier, Colonia Merced Balbuena.</t>
  </si>
  <si>
    <t>19°24′32″N 99°7′20″W﻿ / ﻿19.409004, -99.122171</t>
  </si>
  <si>
    <t>El ícono de la estación representa a una mazorca de maíz o elote.</t>
  </si>
  <si>
    <t>Mercado de Jamaica</t>
  </si>
  <si>
    <t>Avenida Congreso de la Unión, esquina José María Roa Barcenas, Colonia Mixiuhca</t>
  </si>
  <si>
    <t>Avenida Congreso de la Unión, esquina José María Roa Barcenas, Colonia Sevilla</t>
  </si>
  <si>
    <t>Avenida Congreso de la Unión y Cincel Colonia Jamaica.</t>
  </si>
  <si>
    <t>Avenida Congreso de la Unión Colonia Jamaica</t>
  </si>
  <si>
    <t>Avenida Morelos Colonia Sevilla.</t>
  </si>
  <si>
    <t>19°24′10″N 99°7′18″W﻿ / ﻿19.40273, -99.121699</t>
  </si>
  <si>
    <t>Por línea 4 único</t>
  </si>
  <si>
    <t>Por línea 8 al Oriente</t>
  </si>
  <si>
    <t>Avenida Coyuya casi esquina Viaducto, colonia Santa Anita.</t>
  </si>
  <si>
    <t>Por línea 8 al Poniente</t>
  </si>
  <si>
    <t>El ícono de la estación representa la silueta de un vendedor en su canoa o a un gondolero debido a que antiguamente hasta ahí llegaba la zona de chinampas, y el lago de Texcoco y los agricultores solían vender su cosecha en la zona.</t>
  </si>
  <si>
    <t>19°30′3″N 99°8′58″W﻿ / ﻿19.50082, -99.149294</t>
  </si>
  <si>
    <t>El ícono de la estación se debe al Instituto Politécnico Nacional, una de las principales instituciones de enseñanza superior de México, cuyas instalaciones se encuentran a unas cuadras de la estación.</t>
  </si>
  <si>
    <t>Diana esquina Eje Central Lázaro Cárdenas (Avenida de los Cien Metros), Colonia Nueva Industrial, Vallejo.</t>
  </si>
  <si>
    <t>Poniente 152, esquina Eje Central Lázaro Cárdenas (Avenida de los Cien Metros), Colonia Industrial Vallejo.</t>
  </si>
  <si>
    <t>19°29′23″N 99°8′43″W﻿ / ﻿19.489573, -99.14526</t>
  </si>
  <si>
    <t>Poniente 134.</t>
  </si>
  <si>
    <t>Poniente 128 y Avenida 100 metros Colonia San Bartolo Atepehuapan.</t>
  </si>
  <si>
    <t>Por línea 5 al Surponiente</t>
  </si>
  <si>
    <t>Otavalo esquina Avenida 100 metros Colonia San Bartolo Atepehuapan.</t>
  </si>
  <si>
    <t>Masagua y Avenida 100 metros Colonia Valle del Tepeyac.</t>
  </si>
  <si>
    <t>Por línea 5 al Norponiente</t>
  </si>
  <si>
    <t>Por línea 5 al Nororiente</t>
  </si>
  <si>
    <t>19°28′44″N 99°8′26″W﻿ / ﻿19.478973, -99.140668</t>
  </si>
  <si>
    <t>El ícono de la estación es la silueta de un autobús, debido a que se encuentra situada enfrente de la central camionera del norte.</t>
  </si>
  <si>
    <t>Poniente 118, Colonia Ampliación Panamericana.</t>
  </si>
  <si>
    <t>Poniente 116, Colonia Ampliación Panamericana.</t>
  </si>
  <si>
    <t>El ícono de la estación es uno de los 15 monumentos de cantera a lo largo de la Calzada de los Misterios, que conmemoraban cada uno de los 15 misterios del Rosario.</t>
  </si>
  <si>
    <t>Calle Constantino esquina Avenida Río Consulado Norte, Colonia Vallejo.</t>
  </si>
  <si>
    <t>Constantino esquina Avenida Río Consulado Sur Colonia Peralvillo.</t>
  </si>
  <si>
    <t>19°27′32″N 99°7′10″W﻿ / ﻿19.458742, -99.119296</t>
  </si>
  <si>
    <t>El ícono de la estación representa uno de los agaves / magueyes que abundaban en el potrero antes de la construcción de la colonia.</t>
  </si>
  <si>
    <t>Norte 50, esquina Avenida Río Consulado Norte, Colonia 7 de Noviembre.</t>
  </si>
  <si>
    <t>Avenida Real del Monte esquina Avenida Río Consulado Sur, Colonia Valle Gómez.</t>
  </si>
  <si>
    <t>19°27′5″N 99°6′20″W﻿ / ﻿19.451378, -99.105434</t>
  </si>
  <si>
    <t>Norte 86, esquina Avenida Río consulado, Colonia Malinche.</t>
  </si>
  <si>
    <t>Avenida Río Consulado Colonia 20 de Noviembre.</t>
  </si>
  <si>
    <t>19°27′4″N 99°5′45″W﻿ / ﻿19.451236, -99.095886</t>
  </si>
  <si>
    <t>Dólares, esquina Avenida Río Consulado, Colonia Casas Alemán.</t>
  </si>
  <si>
    <t>Peniques esquina Avenida Río Consulado, Colonia Simón Bolívar.</t>
  </si>
  <si>
    <t>19°26′1″N 99°5′16″W﻿ / ﻿19.433734, -99.087667</t>
  </si>
  <si>
    <t>El ícono de la estación representa una torre de control de un aeropuerto y en primer plano la silueta de un avión.</t>
  </si>
  <si>
    <t>Bulevar Puerto Aéreo esquina con Aeropuerto Civil Colonia Peñón de los Baños.</t>
  </si>
  <si>
    <t>Bulevar Puerto Aéreo entre Norte 33 y Oriente 33, Colonia Moctezuma 2ª sección.</t>
  </si>
  <si>
    <t>19°25′27″N 99°5′15″W﻿ / ﻿19.424142, -99.087496</t>
  </si>
  <si>
    <t>El ícono de la estación representa el corte transversal de un hangar dejando al descubierto la silueta de un biplano.</t>
  </si>
  <si>
    <t>Avenida Fuerza Aérea Mexicana Colonia Federal.</t>
  </si>
  <si>
    <t>Entre calle Correos y Telégrafos y Asistencia Colonia Federal.</t>
  </si>
  <si>
    <t>19°30′16″N 99°12′0″W﻿ / ﻿19.504541, -99.20002</t>
  </si>
  <si>
    <t>El ícono de la estación representa un rosario.</t>
  </si>
  <si>
    <t>Tierra Colorada y Avenida El Rosario Colonia El Rosario.</t>
  </si>
  <si>
    <t>Por línea 6 al Oriente</t>
  </si>
  <si>
    <t>Tierra Colorada y Avenida El Rosario Colonia El Rosario</t>
  </si>
  <si>
    <t>Por línea 6 al Poniente</t>
  </si>
  <si>
    <t>Tierra Caliente y Avenida El Rosario Colonia Tierra Nueva</t>
  </si>
  <si>
    <t>Por línea 7 al Norte</t>
  </si>
  <si>
    <t>Tierra Caliente y Avenida Tres Culturas Colonia Tierra Nueva.</t>
  </si>
  <si>
    <t>Por línea 7 al Sur</t>
  </si>
  <si>
    <t>Colegio de Bachilleres</t>
  </si>
  <si>
    <t>Escuela Normal de Estudios Superiores</t>
  </si>
  <si>
    <t>Plaza comercial Soriana</t>
  </si>
  <si>
    <t>El ícono de la estación es la silueta del busto del rey Tezozomoc.</t>
  </si>
  <si>
    <t>Ahuehuetes y Avenida Sauces Colonia Pasteros.</t>
  </si>
  <si>
    <t>Las dos plataformas que sirven a cada uno de los sentidos de la Línea no están conectadas entre sí en el interior de la estación, provocando que para ir de una a otra es necesario salir de la estación.</t>
  </si>
  <si>
    <t>19°29′28″N 99°11′11″W﻿ / ﻿19.490989, -99.186416</t>
  </si>
  <si>
    <t>19°29′42″N 99°11′47″W﻿ / ﻿19.495116, -99.196286</t>
  </si>
  <si>
    <t>El ícono de la estación es una hormiga, ya que el nombre de Azcapotzalco significa Lugar de las hormigas.</t>
  </si>
  <si>
    <t>19°29′27″N 99°10′26″W﻿ / ﻿19.490746, -99.173841</t>
  </si>
  <si>
    <t>El ícono de la estación representa una cabeza de res que hace alusión al desaparecido rastro de Ferrería.</t>
  </si>
  <si>
    <t>Avenida de las Granjas y antigua Calzada de Guadalupe Colonia Santa Catarina.</t>
  </si>
  <si>
    <t>Arena Ciudad de México</t>
  </si>
  <si>
    <t>19°29′19″N 99°9′46″W﻿ / ﻿19.488683, -99.162769</t>
  </si>
  <si>
    <t>El ícono de la estación es una representación de la conocida rosa de los vientos.</t>
  </si>
  <si>
    <t>Calzada Azcapotzalco La Villa Colonia Pueblo las Salinas.</t>
  </si>
  <si>
    <t>Planta Sabritas</t>
  </si>
  <si>
    <t>19°29′26″N 99°9′21″W﻿ / ﻿19.490625, -99.15586</t>
  </si>
  <si>
    <t>El ícono de la estación representa una fábrica ya que en esta zona de la ciudad existe una importante zona industrial.</t>
  </si>
  <si>
    <t>Avenida Azcapotzalco La Villa Colonia Vallejo.</t>
  </si>
  <si>
    <t>19°29′16″N 99°8′5″W﻿ / ﻿19.487712, -99.13466</t>
  </si>
  <si>
    <t>El ícono de la estación está formado por la silueta de la iglesia de San Cayetano, la cual esta ubicada sobre la avenida Montevideo o Eje 5 Norte.</t>
  </si>
  <si>
    <t>Colector 13, casi esquina con Avenida Instituto Politécnico Nacional Colonia Lindavista.</t>
  </si>
  <si>
    <t>19°28′54″N 99°7′5″W﻿ / ﻿19.481522, -99.117923</t>
  </si>
  <si>
    <t>El ícono de la estación está formado por la silueta de la Basílica y una representación de la imagen de la Virgen de Guadalupe.</t>
  </si>
  <si>
    <t>Alberto Herrera y Calzada de Guadalupe Colonia La Villa.</t>
  </si>
  <si>
    <t>Calle Ricarte y Calzada de Guadalupe Colonia Aragón.</t>
  </si>
  <si>
    <t>19°29′26″N 99°11′42″W﻿ / ﻿19.490423, -99.19487</t>
  </si>
  <si>
    <t>El ícono de la estación es el busto de Aquiles Serdán, por el célebre poblano Aquiles Serdán que apoyó a la revolución mexicana.</t>
  </si>
  <si>
    <t>Aquiles Serdán y Totonacas, Colonia La Preciosa.</t>
  </si>
  <si>
    <t>Aquiles Serdán y 16 de Septiembre, Colonia La Preciosa.</t>
  </si>
  <si>
    <t>19°28′45″N 99°11′24″W﻿ / ﻿19.479135, -99.190063</t>
  </si>
  <si>
    <t>El ícono de la estación representa la estilización de un camarón.</t>
  </si>
  <si>
    <t>Avenida Aquiles Serdán y Ferrocarriles Nacionales, Colonia Barrio Santa Cruz Acayucan.</t>
  </si>
  <si>
    <t>Avenida Aquiles Serdán y Santa Apolonia, Colonia Barrio Santa Cruz Acayucan.</t>
  </si>
  <si>
    <t>19°28′12″N 99°11′26″W﻿ / ﻿19.469951, -99.190578</t>
  </si>
  <si>
    <t>Avenida Aquiles Serdán y Avenida 5 de Mayo Colonia Angel Zimbron.</t>
  </si>
  <si>
    <t>Avenida Aquiles Serdán y Avenida Invierno Colonia Angel Zimbron.</t>
  </si>
  <si>
    <t>19°26′45″N 99°11′31″W﻿ / ﻿19.445793, -99.191823</t>
  </si>
  <si>
    <t>El ícono de la estación representa la silueta de uno de los puentes del viaducto radial Río San Joaquín.</t>
  </si>
  <si>
    <t>Lago Hielmar y Lago Ginebra Colonia Pencil Sur.</t>
  </si>
  <si>
    <t>19°26′1″N 99°11′28″W﻿ / ﻿19.433511, -99.191029</t>
  </si>
  <si>
    <t>El ícono de la estación representa la silueta de la Torre del Reloj ubicada en el Parque Lincoln.</t>
  </si>
  <si>
    <t>19°25′32″N 99°11′31″W﻿ / ﻿19.425498, -99.191995</t>
  </si>
  <si>
    <t>El ícono de la estación es la fachada lateral del edificio del Auditorio Nacional diseñado y construido por el Arquitecto Pedro Ramirez Vazquez.</t>
  </si>
  <si>
    <t>Avenida Paseo de la Reforma casi esquina Calzada Chivatito Colonia Polanco Chapultepec.</t>
  </si>
  <si>
    <t>Avenida Paseo de la Reforma y Avenida Andrés Bello Colonia Polanco Chapultepec.</t>
  </si>
  <si>
    <t>Auditorio Nacional</t>
  </si>
  <si>
    <t>Sala de Arte Público Siqueiros</t>
  </si>
  <si>
    <t>Hard Rock Cafe Ciudad de México</t>
  </si>
  <si>
    <t>Centro Cultural del Bosque</t>
  </si>
  <si>
    <t>Museo Nacional de Antropología</t>
  </si>
  <si>
    <t>19°24′43″N 99°11′29″W﻿ / ﻿19.411858, -99.191265</t>
  </si>
  <si>
    <t>El ícono de la estación representa las constituciones redactadas y firmadas en los años de 1824, 1857 y 1917.</t>
  </si>
  <si>
    <t>Avenida Parque Lira entre Avenida Constituyentes y Calle Gob. Ignacio Esteva, Colonia San Miguel Chapultepec.</t>
  </si>
  <si>
    <t>Avenida Parque Lira casi esquina Avenida Constituyentes Colonia Ampliación Daniel Garza.</t>
  </si>
  <si>
    <t>19°23′29″N 99°11′10″W﻿ / ﻿19.391275, -99.186051</t>
  </si>
  <si>
    <t>El ícono de la estación representa la silueta de unos pinos.</t>
  </si>
  <si>
    <t>Avenida Revolución y Calle 9 Colonia San Pedro de los Pinos.</t>
  </si>
  <si>
    <t>Avenida Revolución y Calle 4 Colonia San Pedro de los Pinos.</t>
  </si>
  <si>
    <t>19°23′5″N 99°11′11″W﻿ / ﻿19.384757, -99.186308</t>
  </si>
  <si>
    <t>Avenida San Antonio y Avenida Revolución Colonia Nonoalco.</t>
  </si>
  <si>
    <t>Avenida Revolución y Tintoreto Colonia Nonoalco.</t>
  </si>
  <si>
    <t>Estadio Azul</t>
  </si>
  <si>
    <t>El ícono de la estación representa al fraile San Antonio de Padua con una aureola al fondo y un niño al lado.</t>
  </si>
  <si>
    <t>19°22′33″N 99°11′15″W﻿ / ﻿19.375891, -99.187531</t>
  </si>
  <si>
    <t>El ícono de la estación representa a una serpiente, haciendo alusión a la etimología del nombre de la zona (Mixcoac o Mixcoatl), que quiere decir "serpiente entre nubes".</t>
  </si>
  <si>
    <t>Avenida Revolución entre Extremadura y Empresa Colonia Mixcoac.</t>
  </si>
  <si>
    <t>Avenida Revolución entre Andrea del Sarto y Benvenuto Cellini Colonia Insurgentes Mixcoac.</t>
  </si>
  <si>
    <t>19°21′38″N 99°11′25″W﻿ / ﻿19.360648, -99.190149</t>
  </si>
  <si>
    <t>Avenida Revolución y Condor Colonia Los Alpes.</t>
  </si>
  <si>
    <t>Avenida Revolución y Gustavo Campa Colonia Guadalupe Inn.</t>
  </si>
  <si>
    <t>19°25′53″N 99°8′30″W﻿ / ﻿19.431305, -99.141569</t>
  </si>
  <si>
    <t>El ícono de la estación es la silueta de la Torre Latinoamericana, uno de los edificios más emblemáticos de la Ciudad de México y situada a dos cuadras.</t>
  </si>
  <si>
    <t>Eje Central Lázaro Cárdenas esquina Venustiano Carranza Colonia Centro.</t>
  </si>
  <si>
    <t>Eje Central Lázaro Cárdenas esquina República de Uruguay Colonia Centro.</t>
  </si>
  <si>
    <t>Eje Central Lázaro Cárdenas esquina Art. 123 Colonia Centro.</t>
  </si>
  <si>
    <t>Eje Central Lázaro Cárdenas esquina Victoria Colonia Centro.</t>
  </si>
  <si>
    <t>19°25′18″N 99°8′36″W﻿ / ﻿19.421612, -99.143372</t>
  </si>
  <si>
    <t>Eje Central Lázaro Cárdenas esquina Chimalpopoca, Colonia Doctores.</t>
  </si>
  <si>
    <t>Eje Central Lázaro Cárdenas esquina Lucas Alaman, Colonia Obrera.</t>
  </si>
  <si>
    <t>Eje Central Lázaro Cárdenas esquina Dr. Pascua, Colonia Doctores.</t>
  </si>
  <si>
    <t>Eje Central Lázaro Cárdenas esquina Dr. Liceaga, Colonia Obrera.</t>
  </si>
  <si>
    <t>El ícono de la estación está formado por la silueta de un par de doctores haciendo referencia al nombre de la estación.</t>
  </si>
  <si>
    <t>El ícono de la estación está formado por un casco y dos engranes, símbolos del trabajo de los obreros.</t>
  </si>
  <si>
    <t>Eje Central Lázaro Cárdenas esquina Fernando Ramírez Colonia Obrera.</t>
  </si>
  <si>
    <t>Eje Central Lázaro Cárdenas esquina Dr. Arce Col Doctores.</t>
  </si>
  <si>
    <t>Eje Central Lázaro Cárdenas esquina Dr. Arce Colonia Doctores.</t>
  </si>
  <si>
    <t>19°24′23″N 99°7′35″W﻿ / ﻿19.406495, -99.126248</t>
  </si>
  <si>
    <t>Tena Ventura esquina La Viga Colonia Jamaica.</t>
  </si>
  <si>
    <t>Cerrada calzada de La Viga esquina Calzada La Viga Colonia Jamaica.</t>
  </si>
  <si>
    <t>Guillermo Prieto esquina La Viga Colonia Jamaica.</t>
  </si>
  <si>
    <t>Privada Rancho La Cruz Colonia Jamaica.</t>
  </si>
  <si>
    <t>El ícono de la estación representa la silueta de dos peces o pescados.</t>
  </si>
  <si>
    <t>19°24′49″N 99°8′39″W﻿ / ﻿19.413558, -99.144187</t>
  </si>
  <si>
    <t>19°23′55″N 99°6′49″W﻿ / ﻿19.398521, -99.113545</t>
  </si>
  <si>
    <t>El ícono de la estación representa a un pie con cascabeles en el tobillo el cual se usa para simular cascabeles al bailar. La palabra coyuya en náhuatl significa donde se hacen los cascabeles.</t>
  </si>
  <si>
    <t>Francisco del Paso y Troncoso esquina Avenida Canal de Tezontle (Col. Los Picos de Iztacalco)</t>
  </si>
  <si>
    <t>Francisco del Paso y Troncoso esquina Avenida Canal de Tezontle (Col. Infonavit Iztacalco)</t>
  </si>
  <si>
    <t>Francisco del Paso y Troncoso esquina Avenida Canal de Tezontle (Col. Los Picos de Iztacalco - Secundaria #113)</t>
  </si>
  <si>
    <t>Francisco del Paso y Troncoso esquina Avenida Canal de Tezontle (Col. Campamento 2 de Octubre)</t>
  </si>
  <si>
    <t>El ícono de la estación es la fachada de la iglesia del convento de San Matías, primer templo católico característico del rumbo.</t>
  </si>
  <si>
    <t>El icono de la estación es una vivienda o templo azteca en cuyo interior se ve agua hirviendo, ya que Apatlaco es un término náhuatl cuyo significado es "lugar de baños medicinales".</t>
  </si>
  <si>
    <t>Francisco del Paso y Troncoso (Eje 3 Ote) esquina Avenida Santa María Purísima (Eje 5 Sur, Col. Nueva Rosita)</t>
  </si>
  <si>
    <t>19°22′46″N 99°6′35″W﻿ / ﻿19.379292, -99.109597</t>
  </si>
  <si>
    <t>19°22′27″N 99°6′29″W﻿ / ﻿19.374069, -99.108095</t>
  </si>
  <si>
    <t>El icono de la estación es una ola de agua en un canal, ya que Aculco es un término náhuatl cuyo significado es "Lugar donde tuerce el agua".</t>
  </si>
  <si>
    <t>Francisco del Paso y Troncoso esquina Trabajadoras Sociales Colonia Pueblo Aculco.</t>
  </si>
  <si>
    <t>19°21′54″N 99°6′34″W﻿ / ﻿19.36492, -99.109554</t>
  </si>
  <si>
    <t>El icono de la estación es el emblema de la agrupación de la fuerza aérea mexicana el Escuadrón 201, que fue enviada como parte de los Aliados en la Segunda Guerra Mundial.</t>
  </si>
  <si>
    <t>Calle 6 y Francisco del Paso y Troncoso Colonia Escuadrón 201.</t>
  </si>
  <si>
    <t>Agustín Yáñez y Francisco del Paso y Troncoso Colonia Granjas San Antonio.</t>
  </si>
  <si>
    <t>19°21′22″N 99°6′5″W﻿ / ﻿19.356134, -99.101315</t>
  </si>
  <si>
    <t>El ícono de la estación es un pozo de agua, ya que el nombre en náhuatl que quiere decir "donde se contiene el agua".</t>
  </si>
  <si>
    <t>Calzada Ermita Iztapalapa Colonia Santa Isabel Industrial.</t>
  </si>
  <si>
    <t>19°21′28″N 99°5′37″W﻿ / ﻿19.357834, -99.093461</t>
  </si>
  <si>
    <t>El icono de la estación representa al Sol, el icono hace referencia a la ceremonia del fuego nuevo celebrada en la delegación.</t>
  </si>
  <si>
    <t>Calzada Ermita Iztapalapa Colonia El Santuario.</t>
  </si>
  <si>
    <t>19°21′22″N 99°5′8″W﻿ / ﻿19.356012, -99.085522</t>
  </si>
  <si>
    <t>19°21′4″N 99°4′29″W﻿ / ﻿19.351234, -99.074707</t>
  </si>
  <si>
    <t>El icono de la estación es el logotipo de la Universidad Autónoma Metropolitana.</t>
  </si>
  <si>
    <t>Calzada Ermita Iztapalapa Colonia Ampliación San Miguel.</t>
  </si>
  <si>
    <t>Calzada Ermita Iztapalapa esquina Avenida San Lorenzo Colonia Ampliación San Miguel.</t>
  </si>
  <si>
    <t>Avenida San Lorenzo y Calzada Ermita Iztapalapa Colonia Ampliación San Miguel.</t>
  </si>
  <si>
    <t>Calzada Ermita Iztapalapa Colonia Hidalgo y Mina.</t>
  </si>
  <si>
    <t>19°20′45″N 99°3′50″W﻿ / ﻿19.34593, -99.063892</t>
  </si>
  <si>
    <t>El ícono de la estación representa la Constitución Política de los Estados Unidos Mexicanos de 1917 que fue firmada en Querétaro.</t>
  </si>
  <si>
    <t>Paradero sobre Calzada Ermita Iztapalapa Colonia Constitución de 1917</t>
  </si>
  <si>
    <t>Calzada Ermita Iztapalapa y Avenida Luis Manuel Rojas Colonia Constitución de 1917</t>
  </si>
  <si>
    <t>Paradero sobre Calzada Ermita Iztapalapa Colonia Constitución de 1917.</t>
  </si>
  <si>
    <t>Calzada Ermita Iztapalapa, esquina David Pastrana Colonia Constitución de 1917</t>
  </si>
  <si>
    <t>19°24′22″N 99°10′44″W﻿ / ﻿19.406212, -99.178905</t>
  </si>
  <si>
    <t>El ícono de la estación representa a la bandera de México. Uno de los símbolos nacionales con los que se identifican los ciudadanos mexicanos.</t>
  </si>
  <si>
    <t>Benjamin Franklin y General Salvador Alvarado, Colonia Hipódromo Condesa.</t>
  </si>
  <si>
    <t>Benjamin Franklin y General Salvador Alvarado, Colonia Escandón.</t>
  </si>
  <si>
    <t>19°24′22″N 99°10′7″W﻿ / ﻿19.406131, -99.168477</t>
  </si>
  <si>
    <t>El ícono de la estación representa a una avispa ya que Chilpancingo es una palabra náhuatl que significa lugar de avispas.</t>
  </si>
  <si>
    <t>Avenida Baja California y Tuxpan e Insurgentes, Colonia Roma Norte.</t>
  </si>
  <si>
    <t>Avenida Baja California y Tuxpan e Insurgentes, Colonia Roma sur.</t>
  </si>
  <si>
    <t>Chilpancingo, Avenida Baja California e Insurgentes, Col Hipódromo Condesa.</t>
  </si>
  <si>
    <t>Secretaría de Agricultura, Ganadería, Desarrollo Rural, Pesca y Alimentación</t>
  </si>
  <si>
    <t>Línea 1 del Metrobús de la Ciudad de México (Indios Verdes-El Caminero)</t>
  </si>
  <si>
    <t>19°24′25″N 99°8′42″W﻿ / ﻿19.40696, -99.144874</t>
  </si>
  <si>
    <t>Eje Lázaro Cárdenas y Eje 3 sur, Colonia Obrera.</t>
  </si>
  <si>
    <t>Eje Lázaro Cárdenas y Eje 3 sur, Colonia Algarín.</t>
  </si>
  <si>
    <t>Sur Oriente</t>
  </si>
  <si>
    <t>Eje Lázaro Cárdenas y Eje 3 sur, Colonia Doctores.</t>
  </si>
  <si>
    <t>Eje Lázaro Cárdenas y Eje 3 sur, Colonia Buenos Aires.</t>
  </si>
  <si>
    <t>Eje 3 Sur "Morelos" y Eje 3 Oriente "Francisco del Paso y Troncoso". Col. Magdalena Mixiuhca. Del. Venustiano Carranza, México, D. F.</t>
  </si>
  <si>
    <t>19°24′31″N 99°6′46″W﻿ / ﻿19.408478, -99.112902</t>
  </si>
  <si>
    <t>Francisco del Paso y Troncoso Avenida Morelos Colonia Jardín Balbuena</t>
  </si>
  <si>
    <t>Francisco del Paso y Troncoso Avenida Morelos Colonia Magdalena Mixiuhca</t>
  </si>
  <si>
    <t>Mercado de Peces de Mixiuhca</t>
  </si>
  <si>
    <t>Ciudad Deportiva Magdalena Mixiuhca</t>
  </si>
  <si>
    <t>19°24′31″N 99°6′11″W﻿ / ﻿19.408478, -99.103074</t>
  </si>
  <si>
    <t>El ícono de la estación representa a un ciclista.</t>
  </si>
  <si>
    <t>El ícono de la estación representa a una mujer con un niño, ya que en náhuatl la palabra Mixiuhca significa "lugar de parto".</t>
  </si>
  <si>
    <t>Viaducto Río de la Piedad, Colonia Jardín Balbuena.</t>
  </si>
  <si>
    <t>Viaducto Río de la Piedad, Colonia Granjas México.</t>
  </si>
  <si>
    <t>Velódromo Olímpico Agustín Melgar.</t>
  </si>
  <si>
    <t>Palacio de los Deportes.</t>
  </si>
  <si>
    <t>Autódromo Hermanos Rodríguez.</t>
  </si>
  <si>
    <t>19°24′30″N 99°5′28″W﻿ / ﻿19.408357, -99.091229</t>
  </si>
  <si>
    <t>El ícono de la estación representa a un jugador de Juego de Pelota.</t>
  </si>
  <si>
    <t>Viaducto Río de la Piedad y 45, Colonia Ignacio Zaragoza.</t>
  </si>
  <si>
    <t>Foro Sol.</t>
  </si>
  <si>
    <t>El símbolo representa a unos ángeles ya que el nombre de completo de Puebla es Puebla de los Ángeles.</t>
  </si>
  <si>
    <t>Viaducto Río de la Piedad, Colonia Puebla.</t>
  </si>
  <si>
    <t>19°24′17″N 99°4′12″W﻿ / ﻿19.404835, -99.069901</t>
  </si>
  <si>
    <t>Calzada Ignacio Zaragoza y Calle 1 Colonia Agrícola Oriental.</t>
  </si>
  <si>
    <t>1er. Retorno de Eje 5 Oriente y Calzada Ignacio Zaragoza Colonia Agrícola Oriental.</t>
  </si>
  <si>
    <t>El ícono de la estación representa dos espigas de trigo.</t>
  </si>
  <si>
    <t>19°23′55″N 99°3′34″W﻿ / ﻿19.398683, -99.059365</t>
  </si>
  <si>
    <t>El ícono de la estación representa la parte delantera de una canoa Azteca navegando en un canal.</t>
  </si>
  <si>
    <t>1er. Retorno de sur 10 y Avenida Canal de San Juan Colonia Juárez Pantitlán</t>
  </si>
  <si>
    <t>Calz. Ignacio Zaragoza</t>
  </si>
  <si>
    <t>Ex Balneario Olímpico de la Ciudad de México</t>
  </si>
  <si>
    <t>19°23′29″N 99°2′47″W﻿ / ﻿19.391335, -99.046383</t>
  </si>
  <si>
    <t>Calzada Ignacio Zaragoza y General Baca Calderón Colonia Juan Escutia.</t>
  </si>
  <si>
    <t>Calzada Ignacio Zaragoza casi Avenida Telecomunicaciones Colonia U. Hab. Guelatao de J.</t>
  </si>
  <si>
    <t>19°23′7″N 99°2′9″W﻿ / ﻿19.385162, -99.03574</t>
  </si>
  <si>
    <t>El ícono de la estación es la silueta de la cabeza de Benito Juárez ya que cerca de la estación se encuentra un conocido monumento diseñado por el muralista David Alfaro Siqueiros conocido popularmente como "Cabeza de Juárez".</t>
  </si>
  <si>
    <t>Calzada Ignacio Zaragoza y General Miguel Lira y Ortega Colonia Voceadores</t>
  </si>
  <si>
    <t>Calzada Ignacio Zaragoza y Batallón de la Zacapoaxtla Colonia Ejercito de Oriente.</t>
  </si>
  <si>
    <t xml:space="preserve">19°22′24″N 99°1′2″W﻿ / ﻿19.37332, -99.017093 </t>
  </si>
  <si>
    <t>El ícono del a estación es un peñón, basado en la forma como los aztecas representaban algunos peñones; según el plano reconstructivo de la región del Tenochtitlán de Luis González Aparicio.</t>
  </si>
  <si>
    <t>Calzada Ignacio Zaragoza y Marco López Jiménez Colonia Santa Martha Acatitla Norte.</t>
  </si>
  <si>
    <t>Calzada Ignacio Zaragoza entre Luis Jasso y República Federal Sur Colonia Santa Martha Acatitla Sur.</t>
  </si>
  <si>
    <t>19°21′53″N 99°0′21″W﻿ / ﻿19.364737, -99.005892</t>
  </si>
  <si>
    <t>El ícono de la estación es el pictograma del día caña del calendario solar azteca ya que Acatitla significa en náhuatl, entre las cañas.</t>
  </si>
  <si>
    <t>Calzada Ignacio Zaragoza y Sentimientos de la Nación Colonia Ermita Zaragoza.</t>
  </si>
  <si>
    <t>19°21′36″N 98°59′42″W﻿ / ﻿19.36, -98.994863</t>
  </si>
  <si>
    <t>Generalísimo Morelos y andadores Rocha y Pardiñas Colonia Ermita Zaragoza.</t>
  </si>
  <si>
    <t>Generalísimo Morelos y Galeana Colonia Ermita Zaragoza.</t>
  </si>
  <si>
    <t>Calzada Ignacio Zaragoza Colonia Lomas de Zaragoza.</t>
  </si>
  <si>
    <t>19°21′32″N 98°58′37″W﻿ / ﻿19.358968, -98.976903</t>
  </si>
  <si>
    <t>El ícono de la estación representa las coronas de los tres Reyes Magos.</t>
  </si>
  <si>
    <t>Calle Porfirio Díaz Colonia Los Reyes Acaquilpa.</t>
  </si>
  <si>
    <t>Calle Pensador Mexicano Juárez Colonia Valle de los Remedios.</t>
  </si>
  <si>
    <t>Carretera Federal Mexico- Puebla. Los Reyes La Paz, Estado de México.</t>
  </si>
  <si>
    <t>19°21′2″N 98°57′39″W﻿ / ﻿19.350526, -98.960745</t>
  </si>
  <si>
    <t>El ícono de la estación representa una paloma de la paz, símbolo seleccionado por Pablo Picasso en 1949 para representar el Movimiento de la Paz.</t>
  </si>
  <si>
    <t>Carretera Federal Mexico- Puebla Norte, Municipio de La Paz.</t>
  </si>
  <si>
    <t>Carretera Federal Mexico-Puebla sur, Municipio de la Paz.</t>
  </si>
  <si>
    <t>Mural El perfil del Tiempo</t>
  </si>
  <si>
    <t>Metrobus Chilpancingo</t>
  </si>
  <si>
    <t>Metrobus Tepalcates</t>
  </si>
  <si>
    <t>Están sobre la Calz. México - Tacuba entre la calle Lago Saima y el Panteón Español</t>
  </si>
  <si>
    <t>Panteones Monte Sinaí, Americano y Alemán</t>
  </si>
  <si>
    <t>Ubicado en la Calz. San Bartolo Naucalpan entre Calz. Ingenieros Militares y al oeste de los anteriores panteones mencionados</t>
  </si>
  <si>
    <t>Panteón Español</t>
  </si>
  <si>
    <t>Rodeado por la calle del mismo nombre, por la Av. Casa de la Moneda, Parque de Chapultepec, Calz. México - Tacuba y la calle Gral. Mariano Arista</t>
  </si>
  <si>
    <t>Panteón Sanctorum</t>
  </si>
  <si>
    <t>Panteón Francés</t>
  </si>
  <si>
    <t>Parroquia de Tacuba</t>
  </si>
  <si>
    <t>Ubicado al oeste de la parroquia de tacuba.</t>
  </si>
  <si>
    <t>Supermercado</t>
  </si>
  <si>
    <t>Ubicado al sur del mercado del lago Gascasónica.</t>
  </si>
  <si>
    <t>Ubicada en Calz. México-Tacuba y Mar Arábigo, Colonia Tacuba, C.P. 11410.</t>
  </si>
  <si>
    <t>Ubicada en la esquina de Eje 2 Pte. Av. Marina Nacional y la calle Felipe Carrillo Puerto</t>
  </si>
  <si>
    <t>Clínica del ISSSTE</t>
  </si>
  <si>
    <t>Ubicado en la calle Nextitla entre la cerrada Mar Egeo y Fausto Nieto</t>
  </si>
  <si>
    <t>Deportivo Plan Sexenal</t>
  </si>
  <si>
    <t>Ubicado en la esquina de Lago Garda y Calz. Gral. Mariano Escobedo</t>
  </si>
  <si>
    <t>UNITEC Campus Marina</t>
  </si>
  <si>
    <t>Enfrente de la UNITEC Campus Marina</t>
  </si>
  <si>
    <t>Hospital</t>
  </si>
  <si>
    <t>Ubicado en Calzada México-Tacuba entre la calle del mismo nombre y la cerrada Noche Triste</t>
  </si>
  <si>
    <t>Jardín Cañitas</t>
  </si>
  <si>
    <t>Ubicado en Calz. México - Tacuba entre la calle Instituto de Higiene y Mar Blanco</t>
  </si>
  <si>
    <t>Arból de la Noche Triste</t>
  </si>
  <si>
    <t>Rodeado por las calles Laguna del Carmen, Lago de Xochimilco, Laguna de Tamiahua y Colegio Salesiano</t>
  </si>
  <si>
    <t>Parque Salesiano</t>
  </si>
  <si>
    <t>Ubicado en la calle Mar Mármara entre Mar de la Banda y Mar de Arafura</t>
  </si>
  <si>
    <t>Museo de Artes Gráficas</t>
  </si>
  <si>
    <t>CECyT 9 "Juan de Dios Bátiz Paredes" del IPN</t>
  </si>
  <si>
    <t xml:space="preserve"> Ubicado en Mar Mediterráneo # 227 Col. Popotla.</t>
  </si>
  <si>
    <t>Instituto de la Juventud de la Ciudad de México</t>
  </si>
  <si>
    <t>(Antes Colegio Militar) Ubicado entre Felipe Carrillo Puerto y las vías de ferrocarril que van hacia Cuernavaca</t>
  </si>
  <si>
    <t>Universidad del Ejército y Fuerza Aérea</t>
  </si>
  <si>
    <t>Ubicado en la Prolongación Manuel Carpio y Plan de San Luis</t>
  </si>
  <si>
    <t>Hospital Dr. Rubén Leñero</t>
  </si>
  <si>
    <t>ESCA-IPN Plutarco Elías Calles</t>
  </si>
  <si>
    <t>Capilla Merced de las Huertas</t>
  </si>
  <si>
    <t>Ubicado en la Calzada Mexico-Tacuba 305, Miguel Hidalgo.</t>
  </si>
  <si>
    <t>Centro de estudios de bachillerato (CEB-4/1) "Maestro Moises Saenz Garza"</t>
  </si>
  <si>
    <t>Ubicado en la Avenida Maestro Rural Num. 57-a</t>
  </si>
  <si>
    <t>Ubicado en la Calz. México - Tacuba entre la Av. de los Maestros y Av. Maestro Rural.</t>
  </si>
  <si>
    <t>Benemérita Escuela Nacional de Maestros</t>
  </si>
  <si>
    <t>Ubicado en la Calzada México - Tacuba y Tonantzin. Obra del arquitecto Félix Candela.</t>
  </si>
  <si>
    <t>Capilla de San Antonio de las Huertas</t>
  </si>
  <si>
    <t>Ubicada en Ribera de San Cosme entre las calles Naranjo y Torres Bodet</t>
  </si>
  <si>
    <t>Casa de los Mascarones</t>
  </si>
  <si>
    <t>Ubicado en la esquina de Gabino Barreda y Joaquín García Icazbalceta</t>
  </si>
  <si>
    <t>Ubicado en la calle de Dr. Enrique González Martínez y Orozco y Berra</t>
  </si>
  <si>
    <t>Museo Universitario del Chopo</t>
  </si>
  <si>
    <t>Ubicado en la esquina de las calles Naranjo y Sor Juana Inés de la Cruz</t>
  </si>
  <si>
    <t>Hospital del IMSS</t>
  </si>
  <si>
    <t>Ubicado en Av. de la República entre la calle de M. Ramos Arizpe y Ponciano Arriaga</t>
  </si>
  <si>
    <t>Frontón México</t>
  </si>
  <si>
    <t>Ubicado en Puente de Alvarado entre las calles de José Emparán y M. Ramos Arizpe</t>
  </si>
  <si>
    <t>Museo Nacional de San Carlos</t>
  </si>
  <si>
    <t>Ubicado en la Plaza de la Republica en la bifurcación de la Av. de la República</t>
  </si>
  <si>
    <t>Monumento a la Revolución</t>
  </si>
  <si>
    <t>Metrobus Revolución</t>
  </si>
  <si>
    <t>Linea 1 de Metrobus con direccion (Indios verdes - El Caminero)</t>
  </si>
  <si>
    <t>Ubicado en José María Lafragua y la bifurcación de la Av. de la República</t>
  </si>
  <si>
    <t>CENAFER (Centro Nacional de Ferias)</t>
  </si>
  <si>
    <t>Ubicado en el triángulo formado por Valerio Trujano, Av. Hidalgo y Paseo de la Reforma.</t>
  </si>
  <si>
    <t>SHCP (Secretaría de Hacienda y Crédito Público)</t>
  </si>
  <si>
    <t>Ubicado en la esquina de Paseo de la Reforma y Av. Hidalgo.</t>
  </si>
  <si>
    <t>Hotel Cortés</t>
  </si>
  <si>
    <t>Ubicado en la esquina de Dr. Mora y Av. Hidalgo.</t>
  </si>
  <si>
    <t>Centro Cultural José Martí</t>
  </si>
  <si>
    <t>(Antes Pinacoteca Virreinal) Ubicado al sur del mencionado centro cultural.</t>
  </si>
  <si>
    <t>Laboratorio Arte Alameda</t>
  </si>
  <si>
    <t>Ubicado sobre la calle Colón.</t>
  </si>
  <si>
    <t>Museo Mural Diego Rivera</t>
  </si>
  <si>
    <t>Conformado por los cruces de Paseo de la Reforma y las calles Pedro Moreno, Lerdo, Obispo, Violeta y Valerio Trujano.</t>
  </si>
  <si>
    <t>Glorieta Simón Bolívar</t>
  </si>
  <si>
    <t>PGR (Procuraduría General de la República)</t>
  </si>
  <si>
    <t>Ubicado en el cruce de Paseo de la Reforma, Av. Hidalgo y Zarco.</t>
  </si>
  <si>
    <t>Iglesia de San Hipólito</t>
  </si>
  <si>
    <t>Ubicados en Eje 1 Pte. Rosales entre las calles de Mina y Puente de Alvarado.</t>
  </si>
  <si>
    <t>Iglesia, Panteón y Plaza de San Fernando</t>
  </si>
  <si>
    <t>Lotería Nacional</t>
  </si>
  <si>
    <t>o Edificio El Moro, ubicado en el cruce de Av. de la República, Eje 1 Pte. Rosales y Paseo de la Reforma.</t>
  </si>
  <si>
    <t>Ubicado en Puente de Alvarado entre las calles de José Emparán y M. Ramos Arizpe.</t>
  </si>
  <si>
    <t>Ubicado en Av. Juárez entre el corredor peatonal Ángela Peralta y el Eje Central Lázaro Cárdenas</t>
  </si>
  <si>
    <t>Palacio de Bellas Artes</t>
  </si>
  <si>
    <t>Torre Latinoamericana</t>
  </si>
  <si>
    <t>Ubicada en la esquina de Eje Central Lázaro Cárdenas y Francisco I. Madero (aunque este edificio sea el logo de la estación San Juan de Letrán, el edificio está más cerca de esta estación).</t>
  </si>
  <si>
    <t>Ubicado en la esquina del corredor Condesa y Francisco I. Madero</t>
  </si>
  <si>
    <t>Sanborns (Casa de los Azulejos)</t>
  </si>
  <si>
    <t>Ubicada enfrente de la mencionada sucursal de Sanborns</t>
  </si>
  <si>
    <t>Iglesia de San Francisco</t>
  </si>
  <si>
    <t>Ubicado en 5 de mayo entre Eje Central Lázaro Cárdenas y el corredor Condesa</t>
  </si>
  <si>
    <t>Banco de México (BANXICO)</t>
  </si>
  <si>
    <t>Ubicado en la esquina de Tacuba y el Eje Central Lázaro Cárdenas</t>
  </si>
  <si>
    <t>Edificio de Correos</t>
  </si>
  <si>
    <t>Ubicado en Tacuba entre el corredor Marconi y la cerrada Xicotencatl</t>
  </si>
  <si>
    <t>Palacio de Minería</t>
  </si>
  <si>
    <t>Plaza Manuel Tolsá</t>
  </si>
  <si>
    <t>Monumento a Carlos IV</t>
  </si>
  <si>
    <t>Se encuentra en la Plaza Manuel Tolsá.</t>
  </si>
  <si>
    <t>Museo Nacional de Arte</t>
  </si>
  <si>
    <t>Plaza y Capilla de la Concepción Cuepopan</t>
  </si>
  <si>
    <t>Ubicadas en la esquina de Belisario Domínguez y la calle homogénea.</t>
  </si>
  <si>
    <t>Ubicado en Eje Central Lázaro Cárdenas entre Belisario Domínguez y República de Chile</t>
  </si>
  <si>
    <t>Teatro Blanquita</t>
  </si>
  <si>
    <t>Ubicado en la esquina de el corredor 2 de abril y Av. Hidalgo</t>
  </si>
  <si>
    <t>Teatro Hidalgo</t>
  </si>
  <si>
    <t>Templo de la Santa Veracruz</t>
  </si>
  <si>
    <t>Alameda Central</t>
  </si>
  <si>
    <t>Se encuentra rodeada por las calles Dr. Mora, Av. Juárez, Av. Hidalgo y el corredor Ángela Peralta</t>
  </si>
  <si>
    <t>Ubicado en la esquina de Donceles y el 1er. callejón de San Juan de Dios</t>
  </si>
  <si>
    <t>Museo de la Estampa</t>
  </si>
  <si>
    <t>Ubicado al sur del 2do. callejón de San Juan de Dios</t>
  </si>
  <si>
    <t>Museo Franz Mayer</t>
  </si>
  <si>
    <t>Ubicada en la esquina de Av. Hidalgo y Valerio Trujillo</t>
  </si>
  <si>
    <t>Iglesia de San Juan de Dios</t>
  </si>
  <si>
    <t>Museo de Artes e Industrias Populares</t>
  </si>
  <si>
    <t>Se encuentra en el callejón de Dolores.</t>
  </si>
  <si>
    <t>Barrio Chino</t>
  </si>
  <si>
    <t>Se encuentra sobre la Avenida Juárez Nº 44 Centro Histórico</t>
  </si>
  <si>
    <t>Ubicado en la cuadra que rodea la Av. Juárez y las calles Luis Moya, Independencia, José Ma. Marroquí y Dolores en la Delegación Cuauhtémoc.</t>
  </si>
  <si>
    <t>Antigua Joyería La Esmeralda</t>
  </si>
  <si>
    <t>Casa de los Condes de Miravalle</t>
  </si>
  <si>
    <t>Casino Español</t>
  </si>
  <si>
    <t>Ubicado enfrente de la Casa de los Condes de Miravalle, en Isabel La Católica entre 16 de Septiembre y Francisco I. Madero.</t>
  </si>
  <si>
    <t>Casa Boker</t>
  </si>
  <si>
    <t>Consejo del Centro Histórico de la Ciudad de México</t>
  </si>
  <si>
    <t>Ubicado en la esquina de República de Chile y Donceles.</t>
  </si>
  <si>
    <t>Ubicada en la esquina de 16 de Septiembre e Isabel La Católica.</t>
  </si>
  <si>
    <t>Ubicada en la esquina de Isabel La Católica y Francisco I. Madero.</t>
  </si>
  <si>
    <t>Ubicada en Isabel La Católica entre 16 de Septiembre y Francisco I. Madero.</t>
  </si>
  <si>
    <t>Teatro de la Ciudad Esperanza Iris</t>
  </si>
  <si>
    <t>Teatro Fru-Fru</t>
  </si>
  <si>
    <t>Palacio Legislativo de Donceles</t>
  </si>
  <si>
    <t>Sede de la Asamblea Legislativa del Distrito Federal, se encuentra en la esquina de Donceles y Allende.</t>
  </si>
  <si>
    <t>Ubicado en la calle de Donceles, propiedad de la actriz Irma Serrano.</t>
  </si>
  <si>
    <t>Ubicado en Donceles entre Allende y República de Chile.</t>
  </si>
  <si>
    <t>Teatro Lírico</t>
  </si>
  <si>
    <t>ESIME-IPN Centro</t>
  </si>
  <si>
    <t>(Antes Templo y Ex Convento de San Lorenzo), se encuentra en la esquina de Allende y Belisario Domínguez.</t>
  </si>
  <si>
    <t>Ubicado en República de Cuba entre Allende y República de Chile.</t>
  </si>
  <si>
    <t>Palacio del Senado de México</t>
  </si>
  <si>
    <t>Museo del Ejército</t>
  </si>
  <si>
    <t>Club de Periodistas</t>
  </si>
  <si>
    <t>Ubicado en Donceles y el corredor peatonal Filomeno Mata.</t>
  </si>
  <si>
    <t>Ubicado en la esquina de Filomeno Mata y Tacuba.</t>
  </si>
  <si>
    <t>Ubicado en Filomeno Mata entre Tacuba y 5 de Mayo.</t>
  </si>
  <si>
    <t>Ubicado en Francisco I. Madero entre Filomeno Mata y Bolívar.</t>
  </si>
  <si>
    <t>Palacio de Iturbide</t>
  </si>
  <si>
    <t>Antiguo Colegio de Niñas</t>
  </si>
  <si>
    <t>Ubicado en Bolívar entre 16 de Septiembre y Venustiano Carranza, frente al parque del mismo nombre.</t>
  </si>
  <si>
    <t>Museo Scotiabank de Textiles</t>
  </si>
  <si>
    <t>Bazar de Fotografía Casasola</t>
  </si>
  <si>
    <t>Pinacoteca La Profesa</t>
  </si>
  <si>
    <t>Ubicada en Francisco I. Madero y calle Isabel La Católica.</t>
  </si>
  <si>
    <t>Ubicado en Francisco I. Madero y Bolívar.</t>
  </si>
  <si>
    <t>Casa de los Condes de San Mateo de Valparaíso</t>
  </si>
  <si>
    <t>Ubicada en la esquina de Isabel La Católica y Venustiano Carranza.</t>
  </si>
  <si>
    <t>Ubicada en la esquina de Tacuba y Allende.</t>
  </si>
  <si>
    <t>Biblioteca del Congreso</t>
  </si>
  <si>
    <t>Restaurante Café de Tacuba</t>
  </si>
  <si>
    <t>Ubicada en la calle del mismo nombre - Tacuba 28 (entre Allende y República de Chile).</t>
  </si>
  <si>
    <t>Casa de los condes de la Torre Cossío y de la Cortina</t>
  </si>
  <si>
    <t>Templo de Portacoeli</t>
  </si>
  <si>
    <t>Iglesia de San Bernardino</t>
  </si>
  <si>
    <t>Ubicada en Venustiano Carranza y 20 de noviembre.</t>
  </si>
  <si>
    <t>Ubicado en Venustiano Carranza entre las peatonales Tabaqueros y Paseo Yucatán.</t>
  </si>
  <si>
    <t>Ubicada en la esquina de las calles República de Uruguay y 20 de noviembre.</t>
  </si>
  <si>
    <t>Ubicado en Correo Mayor y República de Uruguay.</t>
  </si>
  <si>
    <t>Templo de Balvanera</t>
  </si>
  <si>
    <t>(Antigua Biblioteca Nacional), se encuentra en Isabel La Católica y República de Uruguay.</t>
  </si>
  <si>
    <t>Iglesia de San Agustín</t>
  </si>
  <si>
    <t>Ubicada en Pino Suárez y el corredor peatonal Corregidora.</t>
  </si>
  <si>
    <t>Suprema Corte de Justicia de la Nación</t>
  </si>
  <si>
    <t>Departamento del Distrito Federal (DDF)</t>
  </si>
  <si>
    <t>Ubicado al sur de la Plaza de la Constitución del lado este de 20 de noviembre.</t>
  </si>
  <si>
    <t>Ubicado al sur de la Plaza de la Constitución del lado oeste de 20 de noviembre.</t>
  </si>
  <si>
    <t>Antiguo Ayuntamiento del Distrito Federal</t>
  </si>
  <si>
    <t>Ubicado en la esquina suroeste de la Plaza de la Constitución.</t>
  </si>
  <si>
    <t>Hotel de la Ciudad de México</t>
  </si>
  <si>
    <t>Ubicado al oeste de la Plaza de la Constitución.</t>
  </si>
  <si>
    <t>Portal de Mercaderes</t>
  </si>
  <si>
    <t>Ubicado al este de la Plaza de la Constitución.</t>
  </si>
  <si>
    <t>Palacio Nacional</t>
  </si>
  <si>
    <t>Catedral Metropolitana</t>
  </si>
  <si>
    <t>Monumento a Enrico Martínez</t>
  </si>
  <si>
    <t>Ubicado al oeste de la Catedral Metropolitana.</t>
  </si>
  <si>
    <t>Ubicada al norte de Plaza de la Constitución.</t>
  </si>
  <si>
    <t>Iglesia de Jesús María</t>
  </si>
  <si>
    <t>Ubicada en la esquina de La Soledad y Jesús María.</t>
  </si>
  <si>
    <t>Ubicado en Moneda y Licenciado Primo de Verdad.</t>
  </si>
  <si>
    <t>Museo de la SHCP</t>
  </si>
  <si>
    <t>Ex Teresa Arte Actual</t>
  </si>
  <si>
    <t>Ubicada en Licenciado Primo de Verdad entre Moneda y República de Guatemala.</t>
  </si>
  <si>
    <t>Ubicada en las calles de Academia y Moneda.</t>
  </si>
  <si>
    <t>Academia de San Carlos</t>
  </si>
  <si>
    <t>Iglesia de Santa Inés</t>
  </si>
  <si>
    <t>Museo José Luis Cuevas</t>
  </si>
  <si>
    <t>Museo Nacional de las Culturas</t>
  </si>
  <si>
    <t>Ubicado al oeste del Palacio Nacional.</t>
  </si>
  <si>
    <t>Ubicado en Moneda cerca de República de Guatemala.</t>
  </si>
  <si>
    <t>Casa de la Primera Imprenta de América</t>
  </si>
  <si>
    <t>Ubicada en Moneda y Licenciado Primo de Verdad.</t>
  </si>
  <si>
    <t>El Antiguo Arzobispado</t>
  </si>
  <si>
    <t>Primera Universidad de América</t>
  </si>
  <si>
    <t>Ubicada en la esquina de Moneda y el corredor peatonal Seminario.</t>
  </si>
  <si>
    <t>El Templo Mayor y el museo</t>
  </si>
  <si>
    <t>Se encuentran en el corredor peatonal Seminario, número 8.</t>
  </si>
  <si>
    <t>Se encuentra al norte del Templo Mayor.</t>
  </si>
  <si>
    <t>Sociedad Mexicana de Geografía y Estadística (SGME)</t>
  </si>
  <si>
    <t>Nacional Monte de Piedad</t>
  </si>
  <si>
    <t>Ubicado en 5 de mayo y Monte de Piedad.</t>
  </si>
  <si>
    <t>Templo de Santa Teresa La Nueva</t>
  </si>
  <si>
    <t>Ubicado en la esquina de San Ildefonso y Loreto.</t>
  </si>
  <si>
    <t>Plaza Loreto</t>
  </si>
  <si>
    <t>Rodeada por las calles San Ildefonso, Justo Sierra y Loreto.</t>
  </si>
  <si>
    <t>Templo de Loreto</t>
  </si>
  <si>
    <t>Se ubica al norte de la Plaza Loreto.</t>
  </si>
  <si>
    <t>Museo de la Luz</t>
  </si>
  <si>
    <t>Ubicado en San Ildefonso y Del Carmen.</t>
  </si>
  <si>
    <t>Antiguo Colegio de San Ildefonso</t>
  </si>
  <si>
    <t>Ubicado en Justo Sierra entre Correo Mayor y Seminario.</t>
  </si>
  <si>
    <t>Antigua Escuela de Jurisprudencia</t>
  </si>
  <si>
    <t>Ubicada en la esquina de República de Argentina y el corredor peatonal González Obregón.</t>
  </si>
  <si>
    <t>Mercado Abelardo Rodríguez</t>
  </si>
  <si>
    <t>Ubicado en República de Venezuela entre Del Carmen y Rodríguez Puebla.</t>
  </si>
  <si>
    <t>Teatro del Pueblo</t>
  </si>
  <si>
    <t>Ubicado en Rodríguez Puebla entre General Miguel Alemán y el callejón de Girón.</t>
  </si>
  <si>
    <t>Ubicado en República de Brasil y República de Venezuela.</t>
  </si>
  <si>
    <t>Museo de la Medicina Mexicana</t>
  </si>
  <si>
    <t>Ubicada en el inicio de República de Colombia.</t>
  </si>
  <si>
    <t>Iglesia de Santo Domingo</t>
  </si>
  <si>
    <t>Ubicada en República de Venezuela entre República de Brasil y Palma Norte;</t>
  </si>
  <si>
    <t>Plaza de Santo Domingo</t>
  </si>
  <si>
    <t>(Antes Convento de la Encarnación) se encuentra en Luis Gonzalez Obregón y República de Brasil.</t>
  </si>
  <si>
    <t>Secretaría de Educación Pública</t>
  </si>
  <si>
    <t>Ubicada en González Obregón y República de Brasil.</t>
  </si>
  <si>
    <t>Antigua Aduana</t>
  </si>
  <si>
    <t>Ubicada en Donceles entre República de Brasil y Seminario.</t>
  </si>
  <si>
    <t>Iglesia de la Enseñanza</t>
  </si>
  <si>
    <t>Museo de la Caricatura</t>
  </si>
  <si>
    <t>Se encuentra enfrente de la Iglesia de la Enseñanza</t>
  </si>
  <si>
    <t>Ubicado en la esquina de 20 de noviembre y José María Izazaga.</t>
  </si>
  <si>
    <t>Ubicado en la esquina de la calle Mesones y el callejón del mismo nombre.</t>
  </si>
  <si>
    <t>Ubicado en la cuadra que forman las calles República de El Salvador y Mesones y las avenidas 20 de Noviembre y Pino Suárez.</t>
  </si>
  <si>
    <t>Se encuentra cerca del puente que hay entre Eje 1 Sur Fray Servando Teresa de Mier y 20 de Noviembre.</t>
  </si>
  <si>
    <t>Plaza e iglesia Tlaxcoaque</t>
  </si>
  <si>
    <t>Ubicada en la esquina de Calz. San Antonio Abad y el callejón del mismo nombre.</t>
  </si>
  <si>
    <t>Ubicado en la esquina del callejón San Antonio Abad y la calle de Agustín Delgado.</t>
  </si>
  <si>
    <t>Ubicado en la calle Xocongo entre Manuel Gutiérrez Nájera y José María Agreda y Sánchez.</t>
  </si>
  <si>
    <t>Centro de enseñanza</t>
  </si>
  <si>
    <t>Ubicado en Eje 3 Sur Calz. Chabacano entre las calles de José Antonio Torres y J. Sotero Castañeda.</t>
  </si>
  <si>
    <t>Parque</t>
  </si>
  <si>
    <t>Rodeado por las calles José Antonio Torres, Juan A. Mateos, Ramón Fabie y José María Roa Bárcenas.</t>
  </si>
  <si>
    <t>O Parque Álamos, se encuentra rodeado por las calles Castilla, Soria, Cádiz e Isabel La Católica.</t>
  </si>
  <si>
    <t>Jardín Santiago Felipe Xicoténcatl</t>
  </si>
  <si>
    <t>Ubicado en la esquina nororiental de Viaducto Presidente Miguel Alemán y Calzada de Tlalpan.</t>
  </si>
  <si>
    <t>Ubicado en Viaducto Presidente Miguel Alemán, entre las calles de José Antonio Torres y Marcos Carrillo.</t>
  </si>
  <si>
    <t>Rodeado por las calles Juana de Arco, Miguel Angel y Washington.</t>
  </si>
  <si>
    <t>Pequeño parque</t>
  </si>
  <si>
    <t>Ubicado en Calz. de Tlalpan, cerca de la calle Guipúzcoa</t>
  </si>
  <si>
    <t>Ubicado en Calz. De Tlalpan, cerca de la calle Romero</t>
  </si>
  <si>
    <t>Se encuentra en la bifurcación de la calle Rubén M. Campos</t>
  </si>
  <si>
    <t>Parque Victoria</t>
  </si>
  <si>
    <t>Encerrado en las calles Castilla, Almería, Andalucía y Unión Postal.</t>
  </si>
  <si>
    <t>Parque Miguel Alemán</t>
  </si>
  <si>
    <t>Se encuentra en el parque victoria frente a Calz. de Tlalpan.</t>
  </si>
  <si>
    <t>Fuente Monumental de estilo Art decó</t>
  </si>
  <si>
    <t>Ubicado en Eje 7 Sur Municipio Libre</t>
  </si>
  <si>
    <t>El depósito y museo del STE (Servicio de Transportes Eléctricos del Distrito Federal)</t>
  </si>
  <si>
    <t>Ubicado en la esquina de Av. 5 de Febrero y Libertad.</t>
  </si>
  <si>
    <t>Mercado de Portales</t>
  </si>
  <si>
    <t>Ubicado en Eje 8 Sur Calz. Ermita Iztapalapa entre las calles de Alfonso Caso y Francisco Rojas González</t>
  </si>
  <si>
    <t>Hospital del ISSSTE</t>
  </si>
  <si>
    <t>Alrededor de las calles Ciclistas, Country Club, Corredores y Béisbol</t>
  </si>
  <si>
    <t>Parque Masayoshi Ohira</t>
  </si>
  <si>
    <t>Ubicado en Calzada de Tlalpan</t>
  </si>
  <si>
    <t>Centro de Convenciones del IMSS</t>
  </si>
  <si>
    <t>Ubicado en Circuito Interior esq. Calz. De Tlalpan.</t>
  </si>
  <si>
    <t>Centro Nacional de las Artes (CNA)</t>
  </si>
  <si>
    <t>Ubicado en la bifurcación de la calle Héroes del 47.</t>
  </si>
  <si>
    <t>Ubicado en la calle de Corina #3</t>
  </si>
  <si>
    <t>Plantel número 6 de la ENP "Antonio Caso"</t>
  </si>
  <si>
    <t>Se encuentra en el ex Convento de Nuestra Señora de los Ángeles de Churubusco. En 20 De Agosto Esq. General Anaya.</t>
  </si>
  <si>
    <t>40     Trén Ligero</t>
  </si>
  <si>
    <t>Tren Ligero Tasqueña</t>
  </si>
  <si>
    <t>Servicio de Tren Ligero dirección Tasqueña - Xochimilco</t>
  </si>
  <si>
    <t>Con acceso directo desde la estación y por la calzada Taxqueña</t>
  </si>
  <si>
    <t>Terminal Central de Autobuses del Sur</t>
  </si>
  <si>
    <t>Ubicado en calzada de Tlalpan y avenida América.</t>
  </si>
  <si>
    <t>En la que convergen las calles Irlanda, Canadá y América.</t>
  </si>
  <si>
    <t>Glorieta de San Andrés</t>
  </si>
  <si>
    <t xml:space="preserve"> Escuela Militar de Transmisiones: Ubicado al poniente de la estación.</t>
  </si>
  <si>
    <t xml:space="preserve"> Club Deportivo Israelita: Ubicado en el Anillo Periférico entre la entrada al Campo Militar No. 1 y Avenida del Conscripto.</t>
  </si>
  <si>
    <t xml:space="preserve"> Campo Militar No. 1: Abarca los límites que hay entre el municipio de Naucalpan del Estado de México y la delegación Miguel Hidalgo del Distrito Federal.</t>
  </si>
  <si>
    <t xml:space="preserve"> Centro Comercial Pericentro: Ubicado sobre Periferico.</t>
  </si>
  <si>
    <t xml:space="preserve"> Plaza comercial Wal-Mart/Sam`s Club: Ubicado sobre Periferico.</t>
  </si>
  <si>
    <t xml:space="preserve"> Fábricas: Diversas Fabricas como Kaltex (textiles), Herdez (alimentos y conservas), Sun Chemical (tintas y accesorios de imprenta).</t>
  </si>
  <si>
    <t xml:space="preserve"> Panteones Monte Sinaí, Americano y Alemán: Están sobre la Calz. México - Tacuba entre la calle Lago Saima y el Panteón Español</t>
  </si>
  <si>
    <t xml:space="preserve"> Panteón Español: Ubicado en la Calz. San Bartolo Naucalpan entre Calz. Ingenieros Militares y al oeste de los anteriores panteones mencionados</t>
  </si>
  <si>
    <t xml:space="preserve"> Panteón Sanctorum: Rodeado por la calle del mismo nombre, por la Av. Casa de la Moneda, Parque de Chapultepec, Calz. México - Tacuba y la calle Gral. Mariano Arista</t>
  </si>
  <si>
    <t xml:space="preserve"> Panteón Francés: Está en Calz. Legaria entre Avenida Rio San Joaquín y la Calz. Santa Cruz Cacalco</t>
  </si>
  <si>
    <t xml:space="preserve"> Iglesia: Ubicada en la calle Río Napo.</t>
  </si>
  <si>
    <t xml:space="preserve"> Iglesia: Ubicada en la esquina del Lago Buenos Aires y Lago Valencia</t>
  </si>
  <si>
    <t xml:space="preserve"> Mercado: Ubicado en la esquina de Río Yapura y el callejón Zacatito</t>
  </si>
  <si>
    <t xml:space="preserve"> Deportivo: Ubicado en Calz. México - Tacuba entre Calz. Sanctorum y Río Uruguay.</t>
  </si>
  <si>
    <t xml:space="preserve"> Parroquia de Tacuba: O de San Gabriel Arcángel, se encuentra Ubicado en Calz.México - Tacuba cerca de la calle Golfo de Campeche.</t>
  </si>
  <si>
    <t xml:space="preserve"> Mercado: Ubicado al oeste de la parroquia de tacuba.</t>
  </si>
  <si>
    <t xml:space="preserve"> Mercado: Ubicado en la esquina de Lago Gascasónica y Lago de los Esclavos</t>
  </si>
  <si>
    <t xml:space="preserve"> Supermercado: Ubicado al sur del mercado del lago Gascasónica.</t>
  </si>
  <si>
    <t xml:space="preserve"> 9a. Agencia del Ministerio Público.: Ubicada en Calz. México-Tacuba y Mar Arábigo, Colonia Tacuba, C.P. 11410.</t>
  </si>
  <si>
    <t xml:space="preserve"> Clínica del ISSSTE: Ubicada en la esquina de Eje 2 Pte. Av. Marina Nacional y la calle Felipe Carrillo Puerto</t>
  </si>
  <si>
    <t xml:space="preserve"> CECyT 9 "Juan de Dios Bátiz Paredes" del IPN:  Ubicado en Mar Mediterráneo # 227 Col. Popotla.</t>
  </si>
  <si>
    <t xml:space="preserve"> Deportivo Plan Sexenal: Ubicado en la calle Nextitla entre la cerrada Mar Egeo y Fausto Nieto</t>
  </si>
  <si>
    <t xml:space="preserve"> UNITEC Campus Marina: Ubicado en la esquina de Lago Garda y Calz. Gral. Mariano Escobedo</t>
  </si>
  <si>
    <t xml:space="preserve"> Hospital: Enfrente de la UNITEC Campus Marina</t>
  </si>
  <si>
    <t xml:space="preserve"> Jardín Cañitas: Ubicado en Calzada México-Tacuba entre la calle del mismo nombre y la cerrada Noche Triste</t>
  </si>
  <si>
    <t xml:space="preserve"> Arból de la Noche Triste: Ubicado en Calz. México - Tacuba entre la calle Instituto de Higiene y Mar Blanco</t>
  </si>
  <si>
    <t xml:space="preserve"> Parque Salesiano: Rodeado por las calles Laguna del Carmen, Lago de Xochimilco, Laguna de Tamiahua y Colegio Salesiano</t>
  </si>
  <si>
    <t xml:space="preserve"> Museo de Artes Gráficas: Ubicado en la calle Mar Mármara entre Mar de la Banda y Mar de Arafura</t>
  </si>
  <si>
    <t xml:space="preserve"> Instituto de la Juventud de la Ciudad de México: (Injuve) Ubicado en la Calzada México-Tacuba N° 235, 1 ° Piso.</t>
  </si>
  <si>
    <t xml:space="preserve"> Universidad del Ejército y Fuerza Aérea: (Antes Colegio Militar) Ubicado entre Felipe Carrillo Puerto y las vías de ferrocarril que van hacia Cuernavaca</t>
  </si>
  <si>
    <t xml:space="preserve"> Hospital Dr. Rubén Leñero: Ubicado en la Prolongación Manuel Carpio y Plan de San Luis</t>
  </si>
  <si>
    <t xml:space="preserve"> ESCA-IPN Plutarco Elías Calles: Ubicado en Plan de Ayala entre Calz. de los Gallos y Prol. Manuel Carpio.</t>
  </si>
  <si>
    <t xml:space="preserve"> Capilla Merced de las Huertas: Ubicado en la Calzada Mexico-Tacuba 305, Miguel Hidalgo.</t>
  </si>
  <si>
    <t xml:space="preserve"> Centro de estudios de bachillerato (CEB-4/1) "Maestro Moises Saenz Garza": Ubicado en la Avenida Maestro Rural Num. 57-a</t>
  </si>
  <si>
    <t xml:space="preserve"> Benemérita Escuela Nacional de Maestros: Ubicado en la Calz. México - Tacuba entre la Av. de los Maestros y Av. Maestro Rural.</t>
  </si>
  <si>
    <t xml:space="preserve"> Capilla de San Antonio de las Huertas: Ubicado en la Calzada México - Tacuba y Tonantzin. Obra del arquitecto Félix Candela.</t>
  </si>
  <si>
    <t xml:space="preserve"> Casa de los Mascarones: Ubicada en Ribera de San Cosme entre las calles Naranjo y Torres Bodet</t>
  </si>
  <si>
    <t xml:space="preserve"> Mercado: Ubicado en la esquina de Gabino Barreda y Joaquín García Icazbalceta</t>
  </si>
  <si>
    <t xml:space="preserve"> Museo Universitario del Chopo: Ubicado en la calle de Dr. Enrique González Martínez y Orozco y Berra</t>
  </si>
  <si>
    <t xml:space="preserve"> Hospital del IMSS: Ubicado en la esquina de las calles Naranjo y Sor Juana Inés de la Cruz</t>
  </si>
  <si>
    <t xml:space="preserve"> Frontón México: Ubicado en Av. de la República entre la calle de M. Ramos Arizpe y Ponciano Arriaga</t>
  </si>
  <si>
    <t xml:space="preserve"> Museo Nacional de San Carlos: Ubicado en Puente de Alvarado entre las calles de José Emparán y M. Ramos Arizpe</t>
  </si>
  <si>
    <t xml:space="preserve"> Monumento a la Revolución: Ubicado en la Plaza de la Republica en la bifurcación de la Av. de la República</t>
  </si>
  <si>
    <t xml:space="preserve"> CENAFER (Centro Nacional de Ferias): Ubicado en José María Lafragua y la bifurcación de la Av. de la República</t>
  </si>
  <si>
    <t xml:space="preserve"> SHCP (Secretaría de Hacienda y Crédito Público): Ubicado en el triángulo formado por Valerio Trujano, Av. Hidalgo y Paseo de la Reforma.</t>
  </si>
  <si>
    <t xml:space="preserve"> Hotel Cortés: Ubicado en la esquina de Paseo de la Reforma y Av. Hidalgo.</t>
  </si>
  <si>
    <t xml:space="preserve"> Centro Cultural José Martí: Ubicado en la esquina de Dr. Mora y Av. Hidalgo.</t>
  </si>
  <si>
    <t xml:space="preserve"> Laboratorio Arte Alameda: (Antes Pinacoteca Virreinal) Ubicado al sur del mencionado centro cultural.</t>
  </si>
  <si>
    <t xml:space="preserve"> Museo Mural Diego Rivera: Ubicado sobre la calle Colón.</t>
  </si>
  <si>
    <t xml:space="preserve"> Glorieta Simón Bolívar: Conformado por los cruces de Paseo de la Reforma y las calles Pedro Moreno, Lerdo, Obispo, Violeta y Valerio Trujano.</t>
  </si>
  <si>
    <t xml:space="preserve"> PGR (Procuraduría General de la República): Ubicado al suroeste de la Glorieta Simon Bolívar.</t>
  </si>
  <si>
    <t xml:space="preserve"> Iglesia de San Hipólito: Ubicado en el cruce de Paseo de la Reforma, Av. Hidalgo y Zarco.</t>
  </si>
  <si>
    <t xml:space="preserve"> Iglesia, Panteón y Plaza de San Fernando: Ubicados en Eje 1 Pte. Rosales entre las calles de Mina y Puente de Alvarado.</t>
  </si>
  <si>
    <t xml:space="preserve"> Lotería Nacional: o Edificio El Moro, ubicado en el cruce de Av. de la República, Eje 1 Pte. Rosales y Paseo de la Reforma.</t>
  </si>
  <si>
    <t xml:space="preserve"> Museo Nacional de San Carlos: Ubicado en Puente de Alvarado entre las calles de José Emparán y M. Ramos Arizpe.</t>
  </si>
  <si>
    <t xml:space="preserve"> Palacio de Bellas Artes: Ubicado en Av. Juárez entre el corredor peatonal Ángela Peralta y el Eje Central Lázaro Cárdenas</t>
  </si>
  <si>
    <t xml:space="preserve"> Torre Latinoamericana: Ubicada en la esquina de Eje Central Lázaro Cárdenas y Francisco I. Madero (aunque este edificio sea el logo de la estación San Juan de Letrán, el edificio está más cerca de esta estación).</t>
  </si>
  <si>
    <t xml:space="preserve"> Sanborns (Casa de los Azulejos): Ubicado en la esquina del corredor Condesa y Francisco I. Madero</t>
  </si>
  <si>
    <t xml:space="preserve"> Iglesia de San Francisco: Ubicada enfrente de la mencionada sucursal de Sanborns</t>
  </si>
  <si>
    <t xml:space="preserve"> Banco de México (BANXICO): Ubicado en 5 de mayo entre Eje Central Lázaro Cárdenas y el corredor Condesa</t>
  </si>
  <si>
    <t xml:space="preserve"> Edificio de Correos: Ubicado en la esquina de Tacuba y el Eje Central Lázaro Cárdenas</t>
  </si>
  <si>
    <t xml:space="preserve"> Palacio de Minería: Ubicado en Tacuba entre el corredor Marconi y la cerrada Xicotencatl</t>
  </si>
  <si>
    <t xml:space="preserve"> Plaza Manuel Tolsá: Ubicada frente del palacio de mineria.</t>
  </si>
  <si>
    <t xml:space="preserve"> Monumento a Carlos IV: Se encuentra en la Plaza Manuel Tolsá.</t>
  </si>
  <si>
    <t xml:space="preserve"> Museo Nacional de Arte: Se encuentra en la Plaza Manuel Tolsá.</t>
  </si>
  <si>
    <t xml:space="preserve"> Plaza y Capilla de la Concepción Cuepopan: Ubicadas en la esquina de Belisario Domínguez y la calle homogénea.</t>
  </si>
  <si>
    <t xml:space="preserve"> Teatro Blanquita: Ubicado en Eje Central Lázaro Cárdenas entre Belisario Domínguez y República de Chile</t>
  </si>
  <si>
    <t xml:space="preserve"> Teatro Hidalgo: Ubicado en la esquina de el corredor 2 de abril y Av. Hidalgo</t>
  </si>
  <si>
    <t xml:space="preserve"> Templo de la Santa Veracruz: Ubicado en la esquina de el corredor 2 de abril y Av. Hidalgo (contraesquina de Teatro Hidalgo)</t>
  </si>
  <si>
    <t xml:space="preserve"> Alameda Central: Se encuentra rodeada por las calles Dr. Mora, Av. Juárez, Av. Hidalgo y el corredor Ángela Peralta</t>
  </si>
  <si>
    <t xml:space="preserve"> Museo de la Estampa: Ubicado en la esquina de Donceles y el 1er. callejón de San Juan de Dios</t>
  </si>
  <si>
    <t xml:space="preserve"> Museo Franz Mayer: Ubicado al sur del 2do. callejón de San Juan de Dios</t>
  </si>
  <si>
    <t xml:space="preserve"> Iglesia de San Juan de Dios: Ubicada en la esquina de Av. Hidalgo y Valerio Trujillo</t>
  </si>
  <si>
    <t xml:space="preserve"> Museo de Artes e Industrias Populares: Se encuentra sobre la Avenida Juárez Nº 44 Centro Histórico</t>
  </si>
  <si>
    <t xml:space="preserve"> Plaza Juárez: Ubicado en la cuadra que rodea la Av. Juárez y las calles Luis Moya, Independencia, José Ma. Marroquí y Dolores en la Delegación Cuauhtémoc.</t>
  </si>
  <si>
    <t xml:space="preserve"> Barrio Chino: Se encuentra en el callejón de Dolores.</t>
  </si>
  <si>
    <t>Curiosidades : Una particularidad de la estación Allende es que sus dos plataformas que sirven a cada uno de los sentidos de la línea no están conectadas entre sí en el interior de la estación, para ir de una a otra es necesario salir de la estación, cruzar la calle e ingresar por el otro sentido, para lo cual es necesario comprar un nuevo boleto o se recomienda irse a la estación que sería Bellas Artes o Zócalo sin necesidad de pagar otro boleto.</t>
  </si>
  <si>
    <t xml:space="preserve"> Antigua Joyería La Esmeralda: Ubicada en la esquina de Isabel La Católica y Francisco I. Madero.</t>
  </si>
  <si>
    <t xml:space="preserve"> Casa de los Condes de Miravalle: Ubicada en Isabel La Católica entre 16 de Septiembre y Francisco I. Madero.</t>
  </si>
  <si>
    <t xml:space="preserve"> Casino Español: Ubicado enfrente de la Casa de los Condes de Miravalle, en Isabel La Católica entre 16 de Septiembre y Francisco I. Madero.</t>
  </si>
  <si>
    <t xml:space="preserve"> Casa Boker: Ubicada en la esquina de 16 de Septiembre e Isabel La Católica.</t>
  </si>
  <si>
    <t xml:space="preserve"> Consejo del Centro Histórico de la Ciudad de México: Ubicado en la esquina de República de Chile y Donceles.</t>
  </si>
  <si>
    <t xml:space="preserve"> Teatro de la Ciudad Esperanza Iris: Ubicado en Donceles entre Allende y República de Chile.</t>
  </si>
  <si>
    <t xml:space="preserve"> Teatro Fru-Fru: Ubicado en la calle de Donceles, propiedad de la actriz Irma Serrano.</t>
  </si>
  <si>
    <t xml:space="preserve"> Palacio Legislativo de Donceles: Sede de la Asamblea Legislativa del Distrito Federal, se encuentra en la esquina de Donceles y Allende.</t>
  </si>
  <si>
    <t xml:space="preserve"> Teatro Lírico: Ubicado en República de Cuba entre Allende y República de Chile.</t>
  </si>
  <si>
    <t xml:space="preserve"> ESIME-IPN Centro: (Antes Templo y Ex Convento de San Lorenzo), se encuentra en la esquina de Allende y Belisario Domínguez.</t>
  </si>
  <si>
    <t xml:space="preserve"> Palacio del Senado de México: Ubicado en Donceles y el corredor peatonal Filomeno Mata.</t>
  </si>
  <si>
    <t xml:space="preserve"> Museo del Ejército: Ubicado en la esquina de Filomeno Mata y Tacuba.</t>
  </si>
  <si>
    <t xml:space="preserve"> Club de Periodistas: Ubicado en Filomeno Mata entre Tacuba y 5 de Mayo.</t>
  </si>
  <si>
    <t xml:space="preserve"> Palacio de Iturbide: Ubicado en Francisco I. Madero entre Filomeno Mata y Bolívar.</t>
  </si>
  <si>
    <t xml:space="preserve"> Antiguo Colegio de Niñas: Ubicado en Bolívar entre 16 de Septiembre y Venustiano Carranza, frente al parque del mismo nombre.</t>
  </si>
  <si>
    <t xml:space="preserve"> Museo Scotiabank de Textiles: (Antes Museo Serfin de Textiles), se encuentra en Francisco I. Madero entre el corredor peatonal Motolinia y Bolívar.</t>
  </si>
  <si>
    <t xml:space="preserve"> Bazar de Fotografía Casasola: Ubicado en Francisco I. Madero y Bolívar.</t>
  </si>
  <si>
    <t xml:space="preserve"> Pinacoteca La Profesa: Ubicada en Francisco I. Madero y calle Isabel La Católica.</t>
  </si>
  <si>
    <t xml:space="preserve"> Casa de los Condes de San Mateo de Valparaíso: Ubicada en la esquina de Isabel La Católica y Venustiano Carranza.</t>
  </si>
  <si>
    <t xml:space="preserve"> Biblioteca del Congreso: Ubicada en la esquina de Tacuba y Allende.</t>
  </si>
  <si>
    <t xml:space="preserve"> Restaurante Café de Tacuba: Ubicada en la calle del mismo nombre - Tacuba 28 (entre Allende y República de Chile).</t>
  </si>
  <si>
    <t>Curiosidades : La estación Zócalo está conectada con la siguiente estación, Pino Suárez por un pasaje peatonal donde hay exposiciones artísticas, librerías, cafeterías y un minicinema. Para guardar la estética colonial de su entorno, la estación Zócalo es la única que no cuenta con señalamientos elevados en sus entradas.</t>
  </si>
  <si>
    <t xml:space="preserve"> Casa de los condes de la Torre Cossío y de la Cortina: Ubicada en la esquina de las calles República de Uruguay y 20 de noviembre.</t>
  </si>
  <si>
    <t xml:space="preserve"> Templo de Portacoeli: Ubicado en Venustiano Carranza entre las peatonales Tabaqueros y Paseo Yucatán.</t>
  </si>
  <si>
    <t xml:space="preserve"> Iglesia de San Bernardino: Ubicada en Venustiano Carranza y 20 de noviembre.</t>
  </si>
  <si>
    <t xml:space="preserve"> Templo de Balvanera: Ubicado en Correo Mayor y República de Uruguay.</t>
  </si>
  <si>
    <t xml:space="preserve"> Iglesia de San Agustín: (Antigua Biblioteca Nacional), se encuentra en Isabel La Católica y República de Uruguay.</t>
  </si>
  <si>
    <t xml:space="preserve"> Suprema Corte de Justicia de la Nación: Ubicada en Pino Suárez y el corredor peatonal Corregidora.</t>
  </si>
  <si>
    <t xml:space="preserve"> Departamento del Distrito Federal (DDF): Ubicado al sur de la Plaza de la Constitución del lado este de 20 de noviembre.</t>
  </si>
  <si>
    <t xml:space="preserve"> Antiguo Ayuntamiento del Distrito Federal: Ubicado al sur de la Plaza de la Constitución del lado oeste de 20 de noviembre.</t>
  </si>
  <si>
    <t xml:space="preserve"> Hotel de la Ciudad de México: Ubicado en la esquina suroeste de la Plaza de la Constitución.</t>
  </si>
  <si>
    <t xml:space="preserve"> Portal de Mercaderes: Ubicado al oeste de la Plaza de la Constitución.</t>
  </si>
  <si>
    <t xml:space="preserve"> Palacio Nacional: Ubicado al este de la Plaza de la Constitución.</t>
  </si>
  <si>
    <t xml:space="preserve"> Catedral Metropolitana: Ubicada al norte de Plaza de la Constitución.</t>
  </si>
  <si>
    <t xml:space="preserve"> Monumento a Enrico Martínez: Ubicado al oeste de la Catedral Metropolitana.</t>
  </si>
  <si>
    <t xml:space="preserve"> Iglesia de Jesús María: Ubicada en la esquina de La Soledad y Jesús María.</t>
  </si>
  <si>
    <t xml:space="preserve"> Museo de la SHCP: Ubicado en Moneda y Licenciado Primo de Verdad.</t>
  </si>
  <si>
    <t xml:space="preserve"> Ex Teresa Arte Actual: Ubicada en Licenciado Primo de Verdad entre Moneda y República de Guatemala.</t>
  </si>
  <si>
    <t xml:space="preserve"> Academia de San Carlos: Ubicada en las calles de Academia y Moneda.</t>
  </si>
  <si>
    <t xml:space="preserve"> Iglesia de Santa Inés: Ubicada en las calles de Academia y Moneda.</t>
  </si>
  <si>
    <t xml:space="preserve"> Museo José Luis Cuevas: Ubicado en Moneda cerca de República de Guatemala.</t>
  </si>
  <si>
    <t xml:space="preserve"> Museo Nacional de las Culturas: Ubicado al oeste del Palacio Nacional.</t>
  </si>
  <si>
    <t xml:space="preserve"> Casa de la Primera Imprenta de América: Ubicada en Moneda y Licenciado Primo de Verdad.</t>
  </si>
  <si>
    <t xml:space="preserve"> El Antiguo Arzobispado: Ubicado en Moneda y Licenciado Primo de Verdad.</t>
  </si>
  <si>
    <t xml:space="preserve"> Primera Universidad de América: Ubicada en la esquina de Moneda y el corredor peatonal Seminario.</t>
  </si>
  <si>
    <t xml:space="preserve"> El Templo Mayor y el museo: Se encuentran en el corredor peatonal Seminario, número 8.</t>
  </si>
  <si>
    <t xml:space="preserve"> Sociedad Mexicana de Geografía y Estadística (SGME): Se encuentra al norte del Templo Mayor.</t>
  </si>
  <si>
    <t xml:space="preserve"> Nacional Monte de Piedad: Ubicado en 5 de mayo y Monte de Piedad.</t>
  </si>
  <si>
    <t xml:space="preserve"> Templo de Santa Teresa La Nueva: Ubicado en la esquina de San Ildefonso y Loreto.</t>
  </si>
  <si>
    <t xml:space="preserve"> Plaza Loreto: Rodeada por las calles San Ildefonso, Justo Sierra y Loreto.</t>
  </si>
  <si>
    <t xml:space="preserve"> Templo de Loreto: Se ubica al norte de la Plaza Loreto.</t>
  </si>
  <si>
    <t xml:space="preserve"> Museo de la Luz: Ubicado en San Ildefonso y Del Carmen.</t>
  </si>
  <si>
    <t xml:space="preserve"> Antiguo Colegio de San Ildefonso: Ubicado en Justo Sierra entre Correo Mayor y Seminario.</t>
  </si>
  <si>
    <t xml:space="preserve"> Antigua Escuela de Jurisprudencia: Ubicada en la esquina de República de Argentina y el corredor peatonal González Obregón.</t>
  </si>
  <si>
    <t xml:space="preserve"> Mercado Abelardo Rodríguez: Ubicado en Rodríguez Puebla entre General Miguel Alemán y el callejón de Girón.</t>
  </si>
  <si>
    <t xml:space="preserve"> Teatro del Pueblo: Ubicado en República de Venezuela entre Del Carmen y Rodríguez Puebla.</t>
  </si>
  <si>
    <t xml:space="preserve"> Museo de la Medicina Mexicana: Ubicado en República de Brasil y República de Venezuela.</t>
  </si>
  <si>
    <t xml:space="preserve"> Iglesia de Santo Domingo: Ubicada en el inicio de República de Colombia.</t>
  </si>
  <si>
    <t xml:space="preserve"> Plaza de Santo Domingo: Ubicada en República de Venezuela entre República de Brasil y Palma Norte;</t>
  </si>
  <si>
    <t xml:space="preserve"> Secretaría de Educación Pública: (Antes Convento de la Encarnación) se encuentra en Luis Gonzalez Obregón y República de Brasil.</t>
  </si>
  <si>
    <t xml:space="preserve"> Antigua Aduana: Ubicada en González Obregón y República de Brasil.</t>
  </si>
  <si>
    <t xml:space="preserve"> Iglesia de la Enseñanza: Ubicada en Donceles entre República de Brasil y Seminario.</t>
  </si>
  <si>
    <t xml:space="preserve"> Museo de la Caricatura: Se encuentra enfrente de la Iglesia de la Enseñanza</t>
  </si>
  <si>
    <t>Curiosidades : Se encuentra conectada con la estación Zócalo a través de un pasaje subterráneo en el que se encuentran librerías y un minicinema. Así mismo tiene un área destinada a exposiciones artísticas temporales.</t>
  </si>
  <si>
    <t xml:space="preserve"> Templo de San Miguel Arcángel: Ubicado en la esquina de 20 de noviembre y José María Izazaga.</t>
  </si>
  <si>
    <t xml:space="preserve"> Iglesia de San Pedro Apóstol: Ubicado en la calle homónima.</t>
  </si>
  <si>
    <t xml:space="preserve"> Templo de San José de Gracia: Ubicado en la esquina de la calle Mesones y el callejón del mismo nombre.</t>
  </si>
  <si>
    <t xml:space="preserve"> Hospital de Jesús: Ubicado en la cuadra que forman las calles República de El Salvador y Mesones y las avenidas 20 de Noviembre y Pino Suárez.</t>
  </si>
  <si>
    <t xml:space="preserve"> Museo de la Ciudad de México: Ubicado en la esquina de República de El Salvador y Pino Suárez.</t>
  </si>
  <si>
    <t xml:space="preserve"> Plaza San Salvador: Se encuentra cerca del puente que hay entre Eje 1 Sur Fray Servando Teresa de Mier y 20 de Noviembre.</t>
  </si>
  <si>
    <t xml:space="preserve"> Plaza e iglesia Tlaxcoaque: Se ecnuentran en el túnel Tlaxcoaque que une 20 de Noviembre con la Calz. San Antonio Abad.</t>
  </si>
  <si>
    <t xml:space="preserve"> Hospital Homeopático Nacional: Ubicado en la esquina de las calles Chimalpopoca y 5 de Febrero.</t>
  </si>
  <si>
    <t xml:space="preserve"> Iglesia: Ubicada en la esquina de Calz. San Antonio Abad y el callejón del mismo nombre.</t>
  </si>
  <si>
    <t xml:space="preserve"> Iglesia: Ubicado en la esquina del callejón San Antonio Abad y la calle de Agustín Delgado.</t>
  </si>
  <si>
    <t xml:space="preserve"> Centro de enseñanza: Ubicado en la calle Xocongo entre Manuel Gutiérrez Nájera y José María Agreda y Sánchez.</t>
  </si>
  <si>
    <t xml:space="preserve"> Supermercado: Ubicado en Eje 3 Sur Calz. Chabacano entre las calles de José Antonio Torres y J. Sotero Castañeda.</t>
  </si>
  <si>
    <t xml:space="preserve"> Parque: Rodeado por las calles José Antonio Torres, Juan A. Mateos, Ramón Fabie y José María Roa Bárcenas.</t>
  </si>
  <si>
    <t xml:space="preserve"> Jardín Santiago Felipe Xicoténcatl: O Parque Álamos, se encuentra rodeado por las calles Castilla, Soria, Cádiz e Isabel La Católica.</t>
  </si>
  <si>
    <t xml:space="preserve"> Hospital: Ubicado en la esquina nororiental de Viaducto Presidente Miguel Alemán y Calzada de Tlalpan.</t>
  </si>
  <si>
    <t xml:space="preserve"> Hospital: Ubicado en Viaducto Presidente Miguel Alemán, entre las calles de José Antonio Torres y Marcos Carrillo.</t>
  </si>
  <si>
    <t xml:space="preserve"> Pequeño parque: Rodeado por las calles Juana de Arco, Miguel Angel y Washington.</t>
  </si>
  <si>
    <t xml:space="preserve"> Hospital: Ubicado en Calz. de Tlalpan, cerca de la calle Guipúzcoa</t>
  </si>
  <si>
    <t xml:space="preserve"> Hospital del IMSS: Ubicado en Calz. De Tlalpan, cerca de la calle Romero</t>
  </si>
  <si>
    <t xml:space="preserve"> Parque Victoria: Se encuentra en la bifurcación de la calle Rubén M. Campos</t>
  </si>
  <si>
    <t xml:space="preserve"> Parque Miguel Alemán: Encerrado en las calles Castilla, Almería, Andalucía y Unión Postal.</t>
  </si>
  <si>
    <t xml:space="preserve"> Fuente Monumental de estilo Art decó: Se encuentra en el parque victoria frente a Calz. de Tlalpan.</t>
  </si>
  <si>
    <t xml:space="preserve"> El depósito y museo del STE (Servicio de Transportes Eléctricos del Distrito Federal): Ubicado en Eje 7 Sur Municipio Libre</t>
  </si>
  <si>
    <t xml:space="preserve"> Mercado de Portales: Ubicado en la esquina de Av. 5 de Febrero y Libertad.</t>
  </si>
  <si>
    <t xml:space="preserve"> Hospital del ISSSTE: Ubicado en Eje 8 Sur Calz. Ermita Iztapalapa entre las calles de Alfonso Caso y Francisco Rojas González</t>
  </si>
  <si>
    <t xml:space="preserve"> Parque Masayoshi Ohira: Alrededor de las calles Ciclistas, Country Club, Corredores y Béisbol</t>
  </si>
  <si>
    <t xml:space="preserve"> Centro de Convenciones del IMSS: Ubicado en Calzada de Tlalpan</t>
  </si>
  <si>
    <t xml:space="preserve"> Centro Nacional de las Artes (CNA): Ubicado en Circuito Interior esq. Calz. De Tlalpan.</t>
  </si>
  <si>
    <t xml:space="preserve"> Parque: Ubicado en la bifurcación de la calle Héroes del 47.</t>
  </si>
  <si>
    <t xml:space="preserve"> Plantel número 6 de la ENP "Antonio Caso": Ubicado en la calle de Corina #3</t>
  </si>
  <si>
    <t xml:space="preserve"> Museo Nacional de las Intervenciones: Se encuentra en el ex Convento de Nuestra Señora de los Ángeles de Churubusco. En 20 De Agosto Esq. General Anaya.</t>
  </si>
  <si>
    <t xml:space="preserve"> Hospital del ISSSTE: Ubicado en calzada de Tlalpan y avenida América.</t>
  </si>
  <si>
    <t xml:space="preserve"> Glorieta de San Andrés: En la que convergen las calles Irlanda, Canadá y América.</t>
  </si>
  <si>
    <t xml:space="preserve"> Plaza de Gaulle: Antes llamada plaza de la Estrella, está ubicado en la esquina de Av. Jalisco y Av. Parque Lira</t>
  </si>
  <si>
    <t xml:space="preserve"> Parque Lira: Jardín ubicado en la avenida homónima entre Gob. Vicente Eguia y Av. Observatorio</t>
  </si>
  <si>
    <t xml:space="preserve"> Museo Casa de la Bola: Ubicado en parque Lira, entre Gob. Vicente Eguia y Av. Observatorio</t>
  </si>
  <si>
    <t xml:space="preserve"> Delegación Miguel Hidalgo: Ubicado en Gob. Vicente Eguia y Gral. Sóstenes Rocha</t>
  </si>
  <si>
    <t xml:space="preserve"> Universidad del Valle de México: Centro de estudios superiores ubicado en Av. Constituyentes entre Gral. León y Gral. Molinos del Campo.</t>
  </si>
  <si>
    <t xml:space="preserve"> Bosque de Chapultepec: Es el parque urbano más grande de América Latina, es un bosque en parte natural y en parte artificial, que fue creado durante el gobierno mexica del valle de México.</t>
  </si>
  <si>
    <t xml:space="preserve"> Museo Nacional de Historia: Ubicado dentro del majestuoso Castillo de Chapultepec (construcción palaciega ubicada en lo alto del cerro del mismo nombre).</t>
  </si>
  <si>
    <t xml:space="preserve"> Museo de Arte Moderno: Horarios: Martes a domingo 10:15 a 17:30 horas. Admisión: $25.00 MN. Ubicado en Paseo de la Reforma y Mahatma Gandhi S/N  Bosque de Chapultepec I, Miguel Hidalgo, 11560 Ciudad de México, Distrito Federal.</t>
  </si>
  <si>
    <t xml:space="preserve"> Universidad de las Ámericas: Ubicado en Av. Chapultepec entre el Eje 2 Pte. Florencia y Medellín.</t>
  </si>
  <si>
    <t xml:space="preserve"> Plaza del Ángel: Ubicado en Londres esquina Amberes.</t>
  </si>
  <si>
    <t xml:space="preserve"> Fuente de las Cibeles y Plaza Madrid: Ubicado en la glorieta de Durango, Oaxaca y Medellín.</t>
  </si>
  <si>
    <t xml:space="preserve"> Glorieta de los Insurgentes: Es una importante plaza y nodo urbano localizado en la intersección de Avenida de los Insurgentes  y Avenida Chapultepec y en ella desembocan la Avenida Oaxaca, y las calles de Jalapa y Génova, de la Ciudad de México.</t>
  </si>
  <si>
    <t xml:space="preserve"> Plaza Romita: Ubicado en el Eje 1 Pte. Av. Cuauhtémoc y Dr. Licéaga</t>
  </si>
  <si>
    <t xml:space="preserve"> Jardín Dr. Ignacio Chávez: Ubicado en el Eje 1 Pte. entre Dr. Licéaga y Dr. Juan Navarro</t>
  </si>
  <si>
    <t xml:space="preserve"> Jardín Pushkin: Ubicado en el Eje 1 Pte. entre Colima y Durango</t>
  </si>
  <si>
    <t xml:space="preserve"> Arena México: Ubicado en Dr. Río de la Loza entre Dr. Carmona y Valle y Dr. Rafael Lucio</t>
  </si>
  <si>
    <t xml:space="preserve"> Secretaría de Gobernación (SEGOB): Ubicado en el Eje 1 Pte. Bucareli esquina Atenas</t>
  </si>
  <si>
    <t xml:space="preserve"> Plaza Giordano Bravo : Ubicado en Berlín esquina Barcelona</t>
  </si>
  <si>
    <t xml:space="preserve"> Plaza Jorge Washington : Ubicado en Londres esquina Dinamarca</t>
  </si>
  <si>
    <t xml:space="preserve"> Biblioteca Benjamín Franklin : Ubicado en Londres esquina Berlín</t>
  </si>
  <si>
    <t xml:space="preserve"> Multiforo Cultural Alicia : Foro cultural y contracultural de la Cd de México, característico por dar cabida a la escena independiente musical y contracultural. También es conocido como "Foro Alicia", "Multiforo Alicia" o "El Alicia".</t>
  </si>
  <si>
    <t xml:space="preserve"> El Centro Cultural Telmex: Es un edificio de la en la Ciudad de México, que alberga un conjunto de escenarios teatrales. Y está ubicado en Av. Cuauhtémoc 19 altos esq. Puebla, Col. Roma.</t>
  </si>
  <si>
    <t xml:space="preserve"> Museo de Cera: Ubicado en Londres esquina Bruselas</t>
  </si>
  <si>
    <t xml:space="preserve"> Museo de Ripley: Ubicado en Londres esquina Bruselas</t>
  </si>
  <si>
    <t xml:space="preserve"> La Ciudadela: Mercado de Artesanías en Balderas entre Emilio Dondé y Ayuntamiento</t>
  </si>
  <si>
    <t xml:space="preserve"> CECYT 5 del Instituto Politécnico Nacional: Antiguamente llamado Vocacional 5, se ubica en la esquina de Emilio Dondé y Enrico Martínez</t>
  </si>
  <si>
    <t xml:space="preserve"> Tesorería del Distrito Federal: Ubicado en Niños Héroes esquina Dr. Claudio Bernard</t>
  </si>
  <si>
    <t xml:space="preserve"> Televisa Chapultepec: Televisa</t>
  </si>
  <si>
    <t xml:space="preserve"> La fuente idem: Ubicado en el cruce del Eje Central Lázaro Cárdenas y José María Izazaga</t>
  </si>
  <si>
    <t xml:space="preserve"> Plaza de las Vizcaínas: Ubicado en el Eje Central entre Vizcaínas y San Jerónimo</t>
  </si>
  <si>
    <t xml:space="preserve"> Colegio de las Vizcaínas: Ubicado en el Eje Central entre Vizcaínas y San Jerónimo</t>
  </si>
  <si>
    <t xml:space="preserve"> Torre de TELMEX: Ubicado en Ernesto Pugibet entre Buen Tono y Luis Moya</t>
  </si>
  <si>
    <t xml:space="preserve"> Registro Civil: Oficinas del Registro Civil en Arcos de Belén esquina Dr. Andrade</t>
  </si>
  <si>
    <t xml:space="preserve"> Plaza Capitán Rodríguez M.: Ubicado en Arcos de Belén esquina Dr. Andrade</t>
  </si>
  <si>
    <t xml:space="preserve"> Museo de la Charrería: Ubicado en José María Izazaga esquina Isabel La Católica</t>
  </si>
  <si>
    <t xml:space="preserve"> Universidad del Claustro de Sor Juana: Se encuentra ubicado frente a la estación del metro. Izazaga 92, Centro Histórico.</t>
  </si>
  <si>
    <t xml:space="preserve"> Plaza Regina: Ubicado en Bolívar esquina Echeveste</t>
  </si>
  <si>
    <t xml:space="preserve"> Templo de San Miguel Arcángel: Ubicado en la esquina de 20 de noviembre y José María Izazaga</t>
  </si>
  <si>
    <t xml:space="preserve"> Templo de San José de Gracia: Ubicado en la esquina de la calle Mesones y el callejón del mismo nombre</t>
  </si>
  <si>
    <t xml:space="preserve"> Hospital de Jesús: Se encuentran en la cuadra que forman las calles República de El Salvador y Mesones y las avenidas 20 de Noviembre y Pino Suárez.</t>
  </si>
  <si>
    <t xml:space="preserve"> Iglesia de Jesús: Se encuentran en la cuadra que forman las calles República de El Salvador y Mesones y las avenidas 20 de Noviembre y Pino Suárez.</t>
  </si>
  <si>
    <t xml:space="preserve"> Plaza San Salvador: Queda ubicado cerca del puente que hay entre Eje 1 Sur Fray Servando Teresa de Mier y 20 de Noviembre.</t>
  </si>
  <si>
    <t xml:space="preserve"> Plaza Tlaxcoaque: Ubicado en el túnel Tlaxcoaque que une 20 de Noviembre con la Calz. San Antonio Abad.</t>
  </si>
  <si>
    <t xml:space="preserve"> Iglesia Tlaxcoaque: Ubicado en el túnel Tlaxcoaque que une 20 de Noviembre con la Calz. San Antonio Abad.</t>
  </si>
  <si>
    <t xml:space="preserve"> Plaza Carrizal: Ubicado entre Eje 1 Ote. Anillo de Circunvalación esq. Abraham Olvera</t>
  </si>
  <si>
    <t xml:space="preserve"> Mercado de la Merced: Ubicado dentro de la estación, entre El Rosario y Santa Escuela esq. Gral. Anaya</t>
  </si>
  <si>
    <t xml:space="preserve"> Plaza San Ciprián: Ubicado en Gral. Anaya esq. San Ciprián</t>
  </si>
  <si>
    <t xml:space="preserve"> Estación Central de Bomberos: Ubicado en la esquina de Eje 1 Ote. Calz. Canal y Eje 1 Sur Fray Servando Teresa de Mier</t>
  </si>
  <si>
    <t xml:space="preserve"> Mercado de Sonora: Mercado famoso por la venta de productos supuestamente milagrosos o mágicos.</t>
  </si>
  <si>
    <t xml:space="preserve"> Escuela Ezequiel A. Chavez: Escuela Nacional Preparatoria Plantel 7, Ubicado en Adolfo Prieto 722 Colonia del Valle, Del. Benito Juárez.</t>
  </si>
  <si>
    <t xml:space="preserve"> Palacio Legislativo de San Lázaro: Ubicado en el Eje 2 Ote. Av. Congreso de la Unión entre Sidar y Rovirosa y Gral. Emiliano Zapata</t>
  </si>
  <si>
    <t xml:space="preserve"> Deportivo Venustiano Carranza: Ubicado en el Eje 2 Oriente, Av. Congreso de La Unión.</t>
  </si>
  <si>
    <t xml:space="preserve"> Hospital de Traumatología de Balbuena: Ubicado en Sur 103 entre Cecilio Robelo y Stand de Tiro.</t>
  </si>
  <si>
    <t xml:space="preserve"> Hospital General de Balbuena: (Frente al de Traumatología) Ubicado en Sur 103 entre Cecilio Robelo y Stand de Tiro.</t>
  </si>
  <si>
    <t xml:space="preserve"> Plaza de la Soledad: Ubicado en San Simón esquina Santa Escuela.</t>
  </si>
  <si>
    <t xml:space="preserve"> Parque Guadalupe Victoria: Ubicado entre Eje 2 Ote. y Juan de la Granja</t>
  </si>
  <si>
    <t xml:space="preserve"> Archivo General de la Nación: Ubicado en el antiguo Palacio Negro de Lecumberri (anteriormente, Prisión de Máxima Seguridad del Porfiriato.</t>
  </si>
  <si>
    <t xml:space="preserve"> Palacio Legislativo de San Lázaro: Se ubica detrás de la estación, es el lugar donde se ubica la Cámara de Diputados.</t>
  </si>
  <si>
    <t xml:space="preserve"> Delegación Venustiano Carranza: Ubicado en Francisco del Paso y Troncoso</t>
  </si>
  <si>
    <t xml:space="preserve"> Agrupamiento de Granaderos: Ubicado en la calle Lic. Cecilio Robelo.</t>
  </si>
  <si>
    <t xml:space="preserve"> H. Congreso de la Unión: Entrada Sur del H. Congreso de la Unión.</t>
  </si>
  <si>
    <t xml:space="preserve"> Hospital Infantil Pediátrico Moctezuma: Hospital Infantil Pediátrico Moctezuma</t>
  </si>
  <si>
    <t xml:space="preserve"> Jardín Balbuena: Ubicado en Lázaro Pavía, entre Fray Servando Teresa de Mier y Luís Lara Pardo</t>
  </si>
  <si>
    <t xml:space="preserve"> Plaza del Ejecutivo: Ubicado en Relaciones Exteriores y Estadística</t>
  </si>
  <si>
    <t xml:space="preserve"> CETIS 32: Ubicado en Río Churubusco y Javier Barros Sierra</t>
  </si>
  <si>
    <t>Ubicado en Prolongación Misterios entre Acueducto de Guadalupe e Insurgentes Norte</t>
  </si>
  <si>
    <t>Parque del Mestizaje</t>
  </si>
  <si>
    <t>Monumento a los Indios Verdes</t>
  </si>
  <si>
    <t>Ubicado en Cienfuegos esquina Eje 6 Nte. Calz. Ticomán</t>
  </si>
  <si>
    <t>CET 30</t>
  </si>
  <si>
    <t>Ubicado en Av. Acueducto esquina Insurgentes Nte.</t>
  </si>
  <si>
    <t>Lienzo Charro de la Villa</t>
  </si>
  <si>
    <t>Universidad Insurgentes</t>
  </si>
  <si>
    <t>En frente del Lienzo Charro de la Villa</t>
  </si>
  <si>
    <t>Ubicado en la col. Rosas del Tepeyac</t>
  </si>
  <si>
    <t>Cerro los Gachupines</t>
  </si>
  <si>
    <t>Situado en la parte posterior del Parque del Mestizaje y en la colonia Santa Isabel Tola.</t>
  </si>
  <si>
    <t>Acueducto de Guadalupe</t>
  </si>
  <si>
    <t>Se encuentra enfrente de la Universidad Insurgentes y a un lado del Acueducto de Guadalupe.</t>
  </si>
  <si>
    <t>Plantel Fundación Azteca</t>
  </si>
  <si>
    <t>Metrobus Deportivo 18 de Marzo</t>
  </si>
  <si>
    <t>Ubicado en Ricarte, Col. Tepeyac Insurgentes.</t>
  </si>
  <si>
    <t>Metrobus Potrero</t>
  </si>
  <si>
    <t>Metrobus La Raza</t>
  </si>
  <si>
    <t>Ubicado en Calzada Vallejo y Jacarandas S/N</t>
  </si>
  <si>
    <t>Se encuentra  sobre Av. Insurgentes Norte 1113.</t>
  </si>
  <si>
    <t>Se encuentra en la calle Zarco. Col. Guerrero.</t>
  </si>
  <si>
    <t>Ubicado sobre el Eje 1 Norte y esq. Aldama, Col. Buenavista,</t>
  </si>
  <si>
    <t>Se encuentra en la calle Independencia #90 Col. Centro.</t>
  </si>
  <si>
    <t>Se encuentra en la calle de Revillagigedo #11, esq. con Independencia</t>
  </si>
  <si>
    <t>Metrobus Hospital General</t>
  </si>
  <si>
    <t>Metrobus Centro Médico</t>
  </si>
  <si>
    <t>Ubicado en el Eje 2A Sur (Dr. Balmis) #148. Col.  Doctores.</t>
  </si>
  <si>
    <t>Jardín Ramón López Velarde Colonia Roma Sur.</t>
  </si>
  <si>
    <t>Avenida Cuauhtémoc, esquina Huatabampo Colonia Roma Sur.</t>
  </si>
  <si>
    <t>Avenida Cuauhtémoc, esquina Eje 3 sur Colonia Roma Sur.</t>
  </si>
  <si>
    <t>Interior Hospital Siglo XXI Colonia Roma Sur.</t>
  </si>
  <si>
    <t>Avenida Cuauhtémoc y Eje 3 sur (panteón Francés) Colonia Roma Sur.</t>
  </si>
  <si>
    <t>Avenida Cuauhtémoc y Avenida Baja California Colonia Roma Sur.</t>
  </si>
  <si>
    <t>Avenida Cuauhtémoc y Tehuantepec Colonia Roma Sur.</t>
  </si>
  <si>
    <t>Toluca y Avenida Baja California Colonia Roma Sur.</t>
  </si>
  <si>
    <t>Tehuantepec y Toluca Colonia Roma Sur.</t>
  </si>
  <si>
    <t>(Antiguo Parque del Seguro Social)</t>
  </si>
  <si>
    <t>Plaza Parque Delta</t>
  </si>
  <si>
    <t>Ubicado en el # 330 de la Av. Cuauhtémoc Col. Doctores.</t>
  </si>
  <si>
    <t>Panteon Francés</t>
  </si>
  <si>
    <t>Centro Médico Siglo XXI</t>
  </si>
  <si>
    <t>Se encuentra en la Av. Cuauhtémoc, entre Eje 3 sur y la lateral del Viaducto Miguel Alemán.</t>
  </si>
  <si>
    <t>Metrobus Etiopia / Plaza de la Transparencia</t>
  </si>
  <si>
    <t>Instituto de Acceso a la Información Pública del Distrito Federal</t>
  </si>
  <si>
    <t>Ubicado en la calle La Morena #865 en la Col. Narvarte.</t>
  </si>
  <si>
    <t>Iglesia de la Medalla Milagrosa</t>
  </si>
  <si>
    <t>Fue diseñada por Félix Candela, y se encuentra en la calle de Ixcateopan #78, Del. Benito Juárez.</t>
  </si>
  <si>
    <t>Plaza comercial</t>
  </si>
  <si>
    <t>Plaza Universidad</t>
  </si>
  <si>
    <t>SportCity</t>
  </si>
  <si>
    <t>SAM's Club / Wallmart</t>
  </si>
  <si>
    <t>Sagarpa</t>
  </si>
  <si>
    <t>Ubicado en el # 377 del Eje 7 Sur (Municipio Libre).</t>
  </si>
  <si>
    <t>Se encuentra en la Av. Universidad, detrás de la estación del Metro.</t>
  </si>
  <si>
    <t>Ubicado en el numero 936-A de Av. Universidad.</t>
  </si>
  <si>
    <t>Periódico Reforma</t>
  </si>
  <si>
    <t>Se encuentra en el # 1000 de Av. Universidad.</t>
  </si>
  <si>
    <t>Plaza Coyoacán</t>
  </si>
  <si>
    <t>Radio Formula</t>
  </si>
  <si>
    <t>Cineteca Nacional</t>
  </si>
  <si>
    <t>Hospital Xoco</t>
  </si>
  <si>
    <t>Ubicado en la Calle Real Mayorazgo, con entrada peatonal sobre Av. Universidad y Av. Coyoacán.</t>
  </si>
  <si>
    <t>Se encuentra frente a Plaza coyoacán, en el #1273 de Av. Universidad.</t>
  </si>
  <si>
    <t>Se encuentra en Av. Universidad 1200, a un costado de Plaza Coyoacán.</t>
  </si>
  <si>
    <t>Se encuentran sobre Miguel Angel de Quevedo, cada una al otro lado de la glorieta.</t>
  </si>
  <si>
    <t>Se encuentra sobre la calle Salvador Novo.</t>
  </si>
  <si>
    <t>Vips / Suburbia / Wallmart</t>
  </si>
  <si>
    <t>Ubicado en Miguel Angel de Quevedo # 217.</t>
  </si>
  <si>
    <t>Se encuentra ubicado sobre Av. Universidad 1449, frente a los viveros de Coyoacán.</t>
  </si>
  <si>
    <t>Hospital del ISSSTE Adolfo Lopez Mateos</t>
  </si>
  <si>
    <t>Ubicado en Av. Universidad 1321. Casi esquina con Circuito Interior (Churubusco).</t>
  </si>
  <si>
    <t>Oficialmente llamado Parque Nacional El Histórico Coyoacán, se encuentra sobre Av. Universidad esq. Madrid.</t>
  </si>
  <si>
    <t>Ciudad Universitaria</t>
  </si>
  <si>
    <t>Ubicado en Av. Antonio Delfín Madrigal No. 665.</t>
  </si>
  <si>
    <t>Ubicado en la calle Mario de La Cueva, Ciudad Universitaria.</t>
  </si>
  <si>
    <t>Tianguis navideño de Río Blanco</t>
  </si>
  <si>
    <t>Casa del Peregrino “San Juan Diego”</t>
  </si>
  <si>
    <t>Ubicado en la Avenida San Juan de Aragón 285</t>
  </si>
  <si>
    <t>Hospedaje para peregrinos y estacionamiento para autobuses. Ubicada en el 109 de la Av. San Juan de Aragón.</t>
  </si>
  <si>
    <t>Ubicada en la calle de Peluqueros s/n.</t>
  </si>
  <si>
    <t>Ubicado en Fray Servando Teresa de Mier #419.</t>
  </si>
  <si>
    <t>Parque de los Periodistas Ilustres</t>
  </si>
  <si>
    <t>Ubicado sobre la avenida Congreso de la Unión.</t>
  </si>
  <si>
    <t>Ubicado en Guillermo Prieto S/N</t>
  </si>
  <si>
    <t>La característica principal de esta estación, es que su transbordo está muy separado, por lo cual es muy largo.</t>
  </si>
  <si>
    <t>Central Camionera del Norte</t>
  </si>
  <si>
    <t>Zona hotelera del aeropuerto</t>
  </si>
  <si>
    <t>Aeropuerto Internacional de la Ciudad de México</t>
  </si>
  <si>
    <t>Instituto Mexicano del Petroleo</t>
  </si>
  <si>
    <t>Centro de Investigación en Computación IPN</t>
  </si>
  <si>
    <t>Escuela Superior de Cómputo IPN</t>
  </si>
  <si>
    <t>Planetario Luis Enrique Erro</t>
  </si>
  <si>
    <t>Colegio de Bachilleres No. 2</t>
  </si>
  <si>
    <t>Campus Zacatenco del Instituto Politecnico Nacional</t>
  </si>
  <si>
    <t>Ubicado en Av. Luis Enrique Erro S/N, Unidad Profesional Adolfo López Mateos.</t>
  </si>
  <si>
    <t>Se encuentra en la calle Wilfrido Massieu s/n</t>
  </si>
  <si>
    <t>Se encuentra sobre la Av. Eje central Lázaro Cárdenas.</t>
  </si>
  <si>
    <t xml:space="preserve">Ubicado en la Av. Juan de Dios Bátiz s/n casi esquina Miguel Othón de Mendizábal, Unidad Profesional "Adolfo López Mateos". </t>
  </si>
  <si>
    <t>Ubicado en el Eje Central (Lázaro Cárdenas) #4907.</t>
  </si>
  <si>
    <t>Hospital Juarez de México</t>
  </si>
  <si>
    <t>Se encuentra en la Av. Instituto Politécnico Nacional #5160</t>
  </si>
  <si>
    <t>Terminal 1. Es el principal puerto aéreo nacional e internacional del país.</t>
  </si>
  <si>
    <t>Zona de pistas. Es el principal puerto aéreo nacional e internacional del país.</t>
  </si>
  <si>
    <t>Unidad habitacional considerada como una de las más grandes de América Latina, está delimitada al norte por el Río de los Remedios, al sur por Hacienda del Rosario, al poniente por la Calzada de las Armas y al oriente por el Eje 5 norte. Para los capitalinos es conocida simplemente como El Rosario.</t>
  </si>
  <si>
    <t>Unidad Habitacional El Rosario</t>
  </si>
  <si>
    <t>Parque Tezozomoc</t>
  </si>
  <si>
    <t>UAM. Unidad Azcapotzalco</t>
  </si>
  <si>
    <t>CCH Unidad Azcapotzalco</t>
  </si>
  <si>
    <t>Ubicado en la Av. Manuel Salazar #201.</t>
  </si>
  <si>
    <t>Se encuentra  a un costado de la Unidad El Rosario.</t>
  </si>
  <si>
    <t>Delegación Azcapotzalco</t>
  </si>
  <si>
    <t>Ubicado en la calle de San Pablo Xalpa #180</t>
  </si>
  <si>
    <t>Estación Fortuna del Sistema 1 del Tren Suburbanno</t>
  </si>
  <si>
    <t>Ferrocarril Suburbano del Valle de México tiene comunicación con esta estación por medio de un túnel.</t>
  </si>
  <si>
    <t>Ubicado en la Avenida de las Granjas No. 800.</t>
  </si>
  <si>
    <t>ESIME Azcapotzalco del IPN</t>
  </si>
  <si>
    <t>Cecati 108</t>
  </si>
  <si>
    <t>conalep Azcapotzalco</t>
  </si>
  <si>
    <t>Ubicado en la Cerrada Cecati 13. Col. Santa Catarina</t>
  </si>
  <si>
    <t>Ubicado en la Calle Cecati 304. Col. Santa Catarina</t>
  </si>
  <si>
    <t>Centro Deportivo Ferrocarrilero</t>
  </si>
  <si>
    <t>Ubicado frente a la Arena Ciudad de México. Ubicado sobre la Avenida de las Granjas</t>
  </si>
  <si>
    <t>Se encuentra en la Av. De las Granjas No. 682.</t>
  </si>
  <si>
    <t>Se encuentra en la Av. De las Granjas No. 618.</t>
  </si>
  <si>
    <t>CECyT 8 Narciso Bassols</t>
  </si>
  <si>
    <t>Ubicado en la Av. Norte 45 No. 740</t>
  </si>
  <si>
    <t>Ubicado sobre la Calle Chosica esq. Eje 4 Nte (Av. Fortuna).</t>
  </si>
  <si>
    <t>Se encuentra sobre la Av. Instituto Politécnico Nacional no. 1669</t>
  </si>
  <si>
    <t>Se encuentra sobre la avenida Colector esq. Lima. A un costado del Hospital General 1° de Octubre.</t>
  </si>
  <si>
    <t>Se encuentra sobre la calle Alberto Herrera S/N. Col. Aragón la Villa.</t>
  </si>
  <si>
    <t>Secretaria de Relaciones Exteriores (Gustavo A. Madero). Ubicado en la calle General Vicente Villada Esquina 5 de Febrero.</t>
  </si>
  <si>
    <t>Basílica de Guadalúpe</t>
  </si>
  <si>
    <t>Museo de los Ferrocarrileros</t>
  </si>
  <si>
    <t>Delegación Gustavo A. Madero</t>
  </si>
  <si>
    <t>Plaza Parque Lindavista</t>
  </si>
  <si>
    <t>Hospital Angeles Lindavista</t>
  </si>
  <si>
    <t>Hospital General 1° de Octubre</t>
  </si>
  <si>
    <t>Unidad de Gineco-Pediatria del IMSS</t>
  </si>
  <si>
    <t>Plaza Tepeyac</t>
  </si>
  <si>
    <t>Ubicado en la Calz. De Guadalupe No. 431.</t>
  </si>
  <si>
    <t>Plaza Azcapotzalco</t>
  </si>
  <si>
    <t>Ubicado en la calle Libertad No. 527.</t>
  </si>
  <si>
    <t>Residencia Oficial de los Pinos</t>
  </si>
  <si>
    <t>Papalote Museo del Niño</t>
  </si>
  <si>
    <t>Museo Tecnologico MUTEC</t>
  </si>
  <si>
    <t>Casa Luis Barragán</t>
  </si>
  <si>
    <t>Embajada de España</t>
  </si>
  <si>
    <t>Hospital Español</t>
  </si>
  <si>
    <t>Parque Bicentenario ("Ex-Refinería de Azcapotzalco")</t>
  </si>
  <si>
    <t>Zona arqueológica de Mixcoac</t>
  </si>
  <si>
    <t>Centro Libanés</t>
  </si>
  <si>
    <t>Hospital Dr. Dario Fernandez del ISSSTE</t>
  </si>
  <si>
    <t>Infonavit</t>
  </si>
  <si>
    <t>Secretaría de la Función Pública</t>
  </si>
  <si>
    <t>Cerveceria Modelo.</t>
  </si>
  <si>
    <t>Ubicado en la Calle Lago Alberto No. 156.</t>
  </si>
  <si>
    <t>Plaza Parques Polanco</t>
  </si>
  <si>
    <t>Ubicado sobre la Calle Lago Alberto.</t>
  </si>
  <si>
    <t>Se encuentra sobre Ejército Nacional No. 617.</t>
  </si>
  <si>
    <t>Se encuentra en la Calle 3 Picos No. 29. En la Colonia Polanco.</t>
  </si>
  <si>
    <t>Ubicada en la Calle de Galileo No. 114, Col. Polanco.</t>
  </si>
  <si>
    <t xml:space="preserve">Secretría de Turismo </t>
  </si>
  <si>
    <t>Se ubica en la Avenida Presidente Masaryk No. 172.</t>
  </si>
  <si>
    <t>Ubicado en la calle de Hegel No. 149.</t>
  </si>
  <si>
    <t>Embajada de Uruguay</t>
  </si>
  <si>
    <t>Embajada de la Rep. Del Salvador</t>
  </si>
  <si>
    <t>Ubicado en la calle Temístocles No. 88</t>
  </si>
  <si>
    <t>Ubicado sobre Paseo de La Reforma No.50, Bosque de Chapultepec I.</t>
  </si>
  <si>
    <t>Ubicado en Campos Elíseos No. 290, Col. Polanco.</t>
  </si>
  <si>
    <t>Ubicado entre Paseo de la Reforma y Campo Marte.</t>
  </si>
  <si>
    <t>Zoológico del Bosque de Chapultepec</t>
  </si>
  <si>
    <t>Se encuentra en la 1ª Secc. del Bosque De Chapultepec, Col. San Miguel Chapultepec.</t>
  </si>
  <si>
    <t>Ubicado entre la Avenida Paseo de la Reforma y Calzada Gandhi sin número.</t>
  </si>
  <si>
    <t>La Feria de Chapultepec</t>
  </si>
  <si>
    <t>La casa del Arquitecto y único mexicano merecedor del Premio Pritzker, Luis Barragán, se encuentra al sur del Bosque de Chaputepec.</t>
  </si>
  <si>
    <t>Se encuentra ubicado en Parque Lira No. 94.</t>
  </si>
  <si>
    <t>Se encuentra en la colonia San Pedro de los Pinos entre las calles Pirámide, Calle 20, Periférico y al sur con la Casa de Cultura Juan Rulfo.</t>
  </si>
  <si>
    <t>Ubicado en la calle Indiana No. 225 esq. con Holbein, Col. Nápoles.</t>
  </si>
  <si>
    <t>Se encuentra en la calle Hermes No. 67, Col. Crédito Constructor.</t>
  </si>
  <si>
    <t>Ubicado sobre Barranca del Muerto No. 234.</t>
  </si>
  <si>
    <t>Iglesia de Nuestra Señora de Guadalupe "El Buen Tono"</t>
  </si>
  <si>
    <t>(Ex Convento de San Juan de la Penitenciaria) Ubicada en la Calle de Buen Tono y Ayuntamiento. Es una obra del arquitecto Miguel Ángel de Quevedo financiada por Ernesto Pugibet dueño de la fábrica de cigarros El Buen Tono.</t>
  </si>
  <si>
    <t>Se encuentra ubicada sobre la calle Ayuntamiento.</t>
  </si>
  <si>
    <t>Basílica Menor de San José y Nuestra Señora del Sagrado Corazón</t>
  </si>
  <si>
    <t>Edificio de la XEW Radio</t>
  </si>
  <si>
    <t>Mercado de San Juan</t>
  </si>
  <si>
    <t>Ubicado en la Calle de Ernesto Pugibet No. 21, en pleno Centro Histórico de la Ciudad, es famoso por sus ingredientes exóticos.</t>
  </si>
  <si>
    <t>Circo Volador</t>
  </si>
  <si>
    <t>Escenario donde se presentan generalmente eventos varios, conciertos y exposiciones. Se encuentra en Calzada de la Viga No.146.</t>
  </si>
  <si>
    <t>UAM-I</t>
  </si>
  <si>
    <t>Universidad Autónoma Metropolitana Unidad Iztapalapa, que se encuentra ubicada en Avenida San Rafael Atlixco No.186, Col. Vicentina.</t>
  </si>
  <si>
    <t>Se encuentra en la calle Río Frío a una calle de Francisco del Paso y Troncoso.</t>
  </si>
  <si>
    <t>Complejo deportivo, ubicado entre las delegaciones Iztacalco y Venustiano Carranza en la Ciudad de México</t>
  </si>
  <si>
    <t>Instalación deportiva usada principalmente para eventos de ciclismo, el velódromo se encuentra en la Ciudad Deportiva Magdalena Mixiuhca.</t>
  </si>
  <si>
    <t>Autódromo Hermanos Rodríguez</t>
  </si>
  <si>
    <t>Foro Sol</t>
  </si>
  <si>
    <t>Recinto destinado principalmente para la realización de eventos masivos y como estadio de Béisbol ("Infierno Solar"), ubicado en el interior de la Ciudad Deportiva Magdalena Mixiuhca. Dentro de las curvas 1 y 2 del Autodromo H. Rodriguez.</t>
  </si>
  <si>
    <t>Ubicada en Av. Insurgentes Sur No. 489.</t>
  </si>
  <si>
    <t>Cabeza de Juarez</t>
  </si>
  <si>
    <t>Facultad de Estudios Superiores Zaragoza de la UNAM</t>
  </si>
  <si>
    <t>CCH Oriente</t>
  </si>
  <si>
    <t>(FES-Zaragoza)Se encuentra sobre la Calle Batalla 5 de Mayo S/N.</t>
  </si>
  <si>
    <t>Ubicado en la glorieta que forma la Avenida Guelatao frente a la FES Zaragoza de la UNAM (Cafetería y Edif. De Gobierno).</t>
  </si>
  <si>
    <t>Metrobus Buenavista</t>
  </si>
  <si>
    <t>Local de postres (helados), para refrescarse mientras viajas.</t>
  </si>
  <si>
    <t>Local de venta de libros, para relajarse mientras viaja.</t>
  </si>
  <si>
    <t>Maquinas arcade para video-jugadores.</t>
  </si>
  <si>
    <t>Paradero de autobuses / transporte público.</t>
  </si>
  <si>
    <t>Local de venta de periódicos y revistas,</t>
  </si>
  <si>
    <t>Local de venta de artículos de plata como joyería y accesorios varios.</t>
  </si>
  <si>
    <t>Estación de Tren Suburbano Cercano.</t>
  </si>
  <si>
    <t>Local de comida mexicana (Tacos).</t>
  </si>
  <si>
    <t>Local de venta de artículos varios a buen precio.</t>
  </si>
  <si>
    <t>Estación de Tren Ligero Cercano.</t>
  </si>
  <si>
    <t>Centro comercial con múltiples tiendas y/o locales en su interior.</t>
  </si>
  <si>
    <t>Centro comercial y de transportes con múltiples tiendas y/o locales en su interior.</t>
  </si>
  <si>
    <t>Tienda de varios artículos para consumo.</t>
  </si>
  <si>
    <t>Venta de revistas y algunos otros artículos de lectura o consumo.</t>
  </si>
  <si>
    <t>Cajeros Automáticos</t>
  </si>
  <si>
    <t>Baños Públicos</t>
  </si>
  <si>
    <t>Cafetería</t>
  </si>
  <si>
    <t>Cybercafé</t>
  </si>
  <si>
    <t>Tren Ligero</t>
  </si>
  <si>
    <t>Mini súper / Tienda de Abarrotes</t>
  </si>
  <si>
    <t>Tienda de Películas Originales</t>
  </si>
  <si>
    <t>INSERT INTO tb_clases VALUES (1,'Arte y Cultura','Espacios intervenidos con arte y cultura en los transbordos y corredores de la estación ','logo_com_arte_y_cultura');</t>
  </si>
  <si>
    <t>INSERT INTO tb_clases VALUES (2,'Cajeros Automáticos','Para realizar consulta de saldos o retiro de efectivo.','logo_com_atm');</t>
  </si>
  <si>
    <t>INSERT INTO tb_clases VALUES (3,'Baños Públicos','Sanitarios de acceso público por cobro.','logo_com_banos');</t>
  </si>
  <si>
    <t>INSERT INTO tb_clases VALUES (4,'Cafetería','Local de bebidas a base de café, para disfrutar mientras viaja.','logo_com_cafeteria');</t>
  </si>
  <si>
    <t>INSERT INTO tb_clases VALUES (7,'Centro de Hidratación','Estación para beber agua de forma gratuita en temporadas de altas temperaturas.','logo_com_centro_de_hidratacion');</t>
  </si>
  <si>
    <t>INSERT INTO tb_clases VALUES (9,'Comida','Local de comida rápida.','logo_com_comida_sin_clasificar');</t>
  </si>
  <si>
    <t>INSERT INTO tb_clases VALUES (11,'Cybercafé','Servicio de internet público, para navegar por la red.','logo_com_cybercafe');</t>
  </si>
  <si>
    <t>INSERT INTO tb_clases VALUES (12,'Expendio de Pan','Local de venta de pan de caja y dulce.','logo_com_expendio');</t>
  </si>
  <si>
    <t>INSERT INTO tb_clases VALUES (14,'Fuente de Sodas','Productos varios, bebidas, snacks, botanas, galletas etc. ','logo_com_fuente_de_sodas');</t>
  </si>
  <si>
    <t>INSERT INTO tb_clases VALUES (15,'Helados','Local de postres (helados), para refrescarse mientras viajas.','logo_com_helados');</t>
  </si>
  <si>
    <t>INSERT INTO tb_clases VALUES (16,'Jefe de Estación','Jefatura designada por el Sistema de Transporte Colectivo Metro.','logo_com_jefe_de_estacion');</t>
  </si>
  <si>
    <t>INSERT INTO tb_clases VALUES (17,'Joyería','Local de venta de joyería y accesorios varios.','logo_com_joyeria');</t>
  </si>
  <si>
    <t>INSERT INTO tb_clases VALUES (18,'Libros','Local de venta de libros, para relajarse mientras viaja.','logo_com_libros');</t>
  </si>
  <si>
    <t>INSERT INTO tb_clases VALUES (19,'Lotería','Local de venta de lotería y sorteos varios.','logo_com_loteria');</t>
  </si>
  <si>
    <t>INSERT INTO tb_clases VALUES (20,'Videojuegos','Maquinas arcade para video-jugadores.','logo_com_maquinas_de_videojuegos');</t>
  </si>
  <si>
    <t>INSERT INTO tb_clases VALUES (22,'Moda y Accesorios','Venta de productos varios.','logo_com_moda_y_accesorios');</t>
  </si>
  <si>
    <t>INSERT INTO tb_clases VALUES (25,'Paradero','Paradero de autobuses / transporte público.','logo_com_paradero');</t>
  </si>
  <si>
    <t>INSERT INTO tb_clases VALUES (26,'Periódicos','Local de venta de periódicos y revistas,','logo_com_periodicos');</t>
  </si>
  <si>
    <t>INSERT INTO tb_clases VALUES (27,'Pizzería','Pizzas y bebidas para acompañar.','logo_com_pizzeria');</t>
  </si>
  <si>
    <t>INSERT INTO tb_clases VALUES (28,'Platería','Local de venta de artículos de plata como joyería y accesorios varios.','logo_com_plateria');</t>
  </si>
  <si>
    <t>INSERT INTO tb_clases VALUES (35,'Suburbano','Estación de Tren Suburbano Cercano.','logo_com_suburbano');</t>
  </si>
  <si>
    <t>INSERT INTO tb_clases VALUES (36,'Taquería','Local de comida mexicana (Tacos).','logo_com_tacos');</t>
  </si>
  <si>
    <t>INSERT INTO tb_clases VALUES (37,'Tienda de Discos','Local de venta de discos.','logo_com_tienda_de_discos');</t>
  </si>
  <si>
    <t>INSERT INTO tb_clases VALUES (38,'Tiendas de Descuento','Local de venta de artículos varios a buen precio.','logo_com_tiendas_de_descuento');</t>
  </si>
  <si>
    <t>INSERT INTO tb_clases VALUES (40,'Tren Ligero','Estación de Tren Ligero Cercano.','logo_com_tren_ligero');</t>
  </si>
  <si>
    <t>INSERT INTO tb_clases VALUES (41,'Centro Comercial','Centro comercial con múltiples tiendas y/o locales en su interior.','logo_com_centro_comercial_plaza');</t>
  </si>
  <si>
    <t>INSERT INTO tb_clases VALUES (42,'Mexipuerto','Centro comercial y de transportes con múltiples tiendas y/o locales en su interior.','logo_com_centro_comercial_mexipuerto');</t>
  </si>
  <si>
    <t>INSERT INTO tb_clases VALUES (43,'Mini súper / Tienda de Abarrotes','Tienda de varios artículos para consumo.','logo_com_mini_super_tienda_abarrotes');</t>
  </si>
  <si>
    <t>INSERT INTO tb_clases VALUES (44,'Taxi','Sitio de taxi cercano.','logo_com_taxi');</t>
  </si>
  <si>
    <t>INSERT INTO tb_clases VALUES (45,'Mexibus','Estación de mexibus cercano.','logo_com_mexibus');</t>
  </si>
  <si>
    <t>INSERT INTO tb_clases VALUES (46,'Puesto de Revistas','Venta de revistas y algunos otros artículos de lectura o consumo.','logo_com_puesto_de_revistas');</t>
  </si>
  <si>
    <t>INSERT INTO tb_clases VALUES (47,'Teléfono Público','Teléfono de uso público.','logo_com_telefono_publico');</t>
  </si>
  <si>
    <t>INSERT INTO tb_clases VALUES (48,'Tienda de Películas Originales','Local de venta de películas originales.','logo_com_peliculas_originales');</t>
  </si>
  <si>
    <t>Cuauhtémoc</t>
  </si>
  <si>
    <t>Cuitláhuac</t>
  </si>
  <si>
    <t>Flores Magón</t>
  </si>
  <si>
    <t>Inst. Petróleo</t>
  </si>
  <si>
    <t>Juanacatlán</t>
  </si>
  <si>
    <t>Lázaro cardenas</t>
  </si>
  <si>
    <t>Múzquiz</t>
  </si>
  <si>
    <t>Nezahualcóyotl</t>
  </si>
  <si>
    <t>Sta. Anita</t>
  </si>
  <si>
    <t>12    Pantitlán</t>
  </si>
  <si>
    <t>24    Sta. Anita</t>
  </si>
  <si>
    <t>43    Politécnico</t>
  </si>
  <si>
    <t>104    Juanacatlán</t>
  </si>
  <si>
    <t>108    Cuauhtémoc</t>
  </si>
  <si>
    <t>11    San Lázaro</t>
  </si>
  <si>
    <t>113    Boulevard Puerto Aéreo</t>
  </si>
  <si>
    <t>71    Cuitláhuac</t>
  </si>
  <si>
    <t>78    Zócalo</t>
  </si>
  <si>
    <t>82    Villa de Cortés</t>
  </si>
  <si>
    <t>55    Niños Héroes</t>
  </si>
  <si>
    <t>65    Talismán</t>
  </si>
  <si>
    <t>2    Inst. Petróleo</t>
  </si>
  <si>
    <t>47    Eduardo Molina</t>
  </si>
  <si>
    <t>48    Aragón</t>
  </si>
  <si>
    <t>7    Oceanía</t>
  </si>
  <si>
    <t>27    Ferrería</t>
  </si>
  <si>
    <t>31    La Villa / Basílica</t>
  </si>
  <si>
    <t>34    Refinería</t>
  </si>
  <si>
    <t xml:space="preserve">123    San Juan de Letrán </t>
  </si>
  <si>
    <t>131    Escuadrón 201</t>
  </si>
  <si>
    <t>118    Lázaro cardenas</t>
  </si>
  <si>
    <t>120    Velódromo</t>
  </si>
  <si>
    <t>137    Agrícola Oriental</t>
  </si>
  <si>
    <t>138    Canal de San Juan</t>
  </si>
  <si>
    <t>141    Peñón Viejo</t>
  </si>
  <si>
    <t>90    Flores Magón</t>
  </si>
  <si>
    <t>92    Deportivo Oceanía</t>
  </si>
  <si>
    <t>93    Bosque de Aragón</t>
  </si>
  <si>
    <t>94    Villa de Aragón</t>
  </si>
  <si>
    <t>95    Nezahualcóyotl</t>
  </si>
  <si>
    <t>98    Múzquiz</t>
  </si>
  <si>
    <t>100    Olímpica</t>
  </si>
  <si>
    <t>101    Plaza Aragón</t>
  </si>
  <si>
    <t>Salida Sur: Avenida Central y Grecia Colonia La Olímpica II.</t>
  </si>
  <si>
    <t>El ícono de la estación, representa un domo estilizado de un observatorio astronómico. Como el situado en sus cercanías.</t>
  </si>
  <si>
    <t>Calz. Minas de Arena. Y Av. Río de Tacubaya Colonias Acueducto y Real del Monte. Del. Álvaro Obregón, México DF</t>
  </si>
  <si>
    <t>Terminal de Autobuses del Poniente (una de las cuatro terminales de autobuses de la Ciudad de México), ubicado en el Eje 5 Pte. Curva, entre Calz. Minas de Arena y Av. Río de Tacubaya. Col. Real del Monte.</t>
  </si>
  <si>
    <t>Avenida Parque Lira y Avenida Jalisco. Col. Tacubaya. Del. Miguel Hidalgo, México DF.</t>
  </si>
  <si>
    <t>Ubicado en Periférico Poniente y Av. Observatorio</t>
  </si>
  <si>
    <t>Parque ubicado en la esquina de Viaducto Miguel Alemán y Av. Revolución cruzando el Puente de la Morena</t>
  </si>
  <si>
    <t>Gral. Pedro Antonio de los Santos. Col. San Miguel Chapultepec. Del. Miguel Hidalgo, México DF.</t>
  </si>
  <si>
    <t xml:space="preserve">Avenida Chapultepec y Circuito Interior Bicentenario. Colinda con las Colonias. Juarez, Roma Norte y Condesa. Y las Delegaciones Miguel Hidalgo y Cuauhtémoc, México DF. </t>
  </si>
  <si>
    <t>Paradero Oriente, Calle Tampico y Avenida Chapultepec Colonia Roma Norte (S-2).</t>
  </si>
  <si>
    <t>(Erróneamente conocido como Monumento a los Niños Héroes) Este monumento esta dedicado a los combatientes contra la invasión estadounidense de 1846 a 1847 con la frase: “A los Defensores de la Patria 1846-1847”. Fue diseñado por el arquitecto Enrique Aragón y esculpido por Ernesto Tamariz.</t>
  </si>
  <si>
    <t>Es el segundo zoológico más grande de México después del de Zoológico de Guadalajara. Localizado en la 1ª Secc. Bosques De Chapultepec.</t>
  </si>
  <si>
    <t>Avenida Chapultepec y Londres. Col. Juarez y Roma Norte. Del.  Cuauhtémoc, México DF.</t>
  </si>
  <si>
    <t>Estación de Metrobús Insurgentes en sus cercanías.</t>
  </si>
  <si>
    <t xml:space="preserve">Av. Chapultepec y Abraham González. Col. Juarez y Roma Norte. Del.  Cuauhtémoc, México DF.  </t>
  </si>
  <si>
    <t>Ubicado en Morelia y Calzada. Guaymas</t>
  </si>
  <si>
    <t xml:space="preserve">Av. Arcos de Belén y Av. Balderas-Niños Héroes Col. Centro y Doctores. Del. Cuauhtémoc, México DF. </t>
  </si>
  <si>
    <t>Ubicado en la esquina de Niños Héroes y Arcos de Belén</t>
  </si>
  <si>
    <t xml:space="preserve"> en Balderas entre Emilio Dondé y Tolsa</t>
  </si>
  <si>
    <t>Eje Central Lázaro Cárdenas y Av. Arcos de Belén Col. Centro y Doctores. Del. Cuauhtémoc, México DF.</t>
  </si>
  <si>
    <t>Por línea 8 al Nororiente: Eje Central Lázaro Cárdenas y Plaza de las Vizcaínas Colonia Centro.</t>
  </si>
  <si>
    <t>Avenida José María Izazaga y Avenida Isabel la Católica. Col. Centro. Del. Cuauhtémoc, México DF.</t>
  </si>
  <si>
    <t>El ícono de la estación representa la pirámide de Ehécatl (dios del viento). En la cultura azteca Ehécatl era tan venerado como Tláloc o Quetzalcóatl. La pirámide es descubierta durante las excavaciones para la construcción de la estación Pino Suárez y señala el límite sur de la gran Tenochtitlán.</t>
  </si>
  <si>
    <t>Avenida José María Izazaga y Pino Suárez. Col. Centro. Del.  Cuauhtémoc, México DF.</t>
  </si>
  <si>
    <t>El ícono de la estación está formado por una caja o huacal de manzanas, en representación del Mercado de la Merced; con la que tiene una conexión directa.</t>
  </si>
  <si>
    <t>Santa Escuela y Plaza Carrizal. Col. Zona Centro. Del. Venustiano Carranza, México DF.</t>
  </si>
  <si>
    <t>El ícono de la estación es un pato, debido a la cantidad de patos que se reunían cuando era la ribera del Lago de Texcoco.</t>
  </si>
  <si>
    <t>Av. Congreso de la Unión y La Candelaria. Col. Zona Centro y del Parque. Del.  Venustiano Carranza, México DF.</t>
  </si>
  <si>
    <t>Av. Eduardo Molina y Calzada. Ignacio Zaragoza. Col. 7 de Julio y Doctores. Del. Venustiano Carranza, México DF.</t>
  </si>
  <si>
    <t>1er. Retorno de Ignacio Zaragoza esquina Calzada Ignacio Zaragoza, colonia Jardín Balbuena.</t>
  </si>
  <si>
    <t>Ubicado entre Alfonso Ceballos y Juan Gutiérrez cruzando la Av. Emilio Carranza</t>
  </si>
  <si>
    <t>Calzada Ignacio Zaragoza. Col. Moctezuma 1a Sección y Jardín Balbuena. Del. Venustiano Carranza.</t>
  </si>
  <si>
    <t>Avenida Boulevard Puerto Aéreo esq. Calzada Ignacio Zaragoza. Col. Aviación Civil, Moctezuma y Valentín Gómez Farías. Del. Venustiano Carranza, México DF.</t>
  </si>
  <si>
    <t>Calzada Ignacio Zaragoza. Col. Valentín Gómez Farías. Del. Venustiano Carranza, Mexico DF.</t>
  </si>
  <si>
    <t>Calzada Ignacio Zaragoza. Col. 4 árboles y Puebla. Del. Venustiano Carranza, Mexico DF.</t>
  </si>
  <si>
    <t>Norte: Calzada Ignacio Zaragoza, esquina Enrique Farman Colonia 4 árboles</t>
  </si>
  <si>
    <t>También llamado "El Caballito" en la calzada homónima en su cruce con Luis Bleriot y C. A. Lindberg.</t>
  </si>
  <si>
    <t>Av. Río Churubusco y Talleres gráficos. Col. Agrícola Pantitlán y Adolfo Lopez Mateos. Del. Venustiano Carranza e Iztacalco, México DF.</t>
  </si>
  <si>
    <t>Ubicado sobre Periférico.</t>
  </si>
  <si>
    <t>Calzada. San Bartolo Naucalpan esq. Lago Fontana. Col. Argentina. Miguel Hidalgo, México DF.</t>
  </si>
  <si>
    <t>Está en Calz. Legaria entre Avenida Río San Joaquín y la Calz. Santa Cruz Cacalco</t>
  </si>
  <si>
    <t>El ícono de la estación está formado por tres flores, que representan el significado de nombre, del náhuatl "Tlacopan", que significa "tierra florida".</t>
  </si>
  <si>
    <t>Calzada. México-Tacuba. Col. Tacuba. Del. Miguel Hidalgo, México DF.</t>
  </si>
  <si>
    <t>O de San Gabriel Arcángel, se encuentra Ubicado en Calz. México - Tacuba cerca de la calle Golfo de Campeche.</t>
  </si>
  <si>
    <r>
      <t xml:space="preserve">Ubicado en la esquina de </t>
    </r>
    <r>
      <rPr>
        <sz val="11"/>
        <color theme="1"/>
        <rFont val="Calibri"/>
        <family val="2"/>
      </rPr>
      <t>Lago Gascasónica y Lago de los Esclavos</t>
    </r>
  </si>
  <si>
    <t>El ícono de la estación hace referencia al escudo que solían usar los guerreros mexicas, cuya gesta más heroica, la "Noche Triste", ocurrió a unos metros de la ubicación actual de la estación. Esa batalla fue ganada por Cuitláhuac.</t>
  </si>
  <si>
    <t>Calzada. México-Tacuba casi esq. con Pocito. Col. Popotla. Del. Miguel Hidalgo, México DF.</t>
  </si>
  <si>
    <t>Calzada. México-Tacuba y Colegio Militar. Col. Popotla. Miguel Hidalgo, México DF.</t>
  </si>
  <si>
    <t xml:space="preserve">Calz. México-Tacuba y Felipe Carrillo Puerto. Col. Anáhuac. Del. Miguel Hidalgo, México DF. </t>
  </si>
  <si>
    <t>(Injuve) Ubicado en la Calzada México-Tacuba No 235, 1 ° Piso.</t>
  </si>
  <si>
    <t>Ubicado en Plan de Ayala entre Calz. de los Gallos y Pról. Manuel Carpio.</t>
  </si>
  <si>
    <t xml:space="preserve">Calzada. México-Tacuba y Av. de los Maestros. Col. Tlaxpana. Del. Miguel Hidalgo, México DF. </t>
  </si>
  <si>
    <t>Ribera de San Cosme casi esq. con Rosas Moreno. Col. Santa María la Ribera. Del. Cuauhtémoc, México DF.</t>
  </si>
  <si>
    <t>El ícono de la estación está formado por la silueta del Monumento de la Revolución Mexicana, situada en las cercanías de la estación.</t>
  </si>
  <si>
    <t xml:space="preserve">Av. Puente de Alvarado casi esq. con Ponciano Arriaga. Col. Tabacalera. Del. Cuauhtémoc, México DF. </t>
  </si>
  <si>
    <t>Línea 1 de Metrobús con dirección (Indios verdes - El Caminero)</t>
  </si>
  <si>
    <t>Paseo de la Reforma, Av. Hidalgo y Av. Balderas. Col. Guerrero, Col. Centro. Del. Cuauhtémoc, México DF.</t>
  </si>
  <si>
    <t>Ubicado al suroeste de la Glorieta Simón Bolívar.</t>
  </si>
  <si>
    <t xml:space="preserve">Eje Central Lázaro Cárdenas y Av. Hidalgo-Tacuba. Del.  Cuauhtémoc, México DF. </t>
  </si>
  <si>
    <t>Ubicada frente del palacio de minería.</t>
  </si>
  <si>
    <t>Ubicado en la esquina de el corredor 2 de abril y Av. Hidalgo (contra esquina de Teatro Hidalgo)</t>
  </si>
  <si>
    <t>C. Tacuba y Motolinía. Col. Centro. Del. Cuauhtémoc, México DF.</t>
  </si>
  <si>
    <t>2 salidas en Calle Tacuba esquina calle Motolinía Col. Centro.</t>
  </si>
  <si>
    <t>(Antes Museo Serfín de Textiles), se encuentra en Francisco I. Madero entre el corredor peatonal Motolinía y Bolívar.</t>
  </si>
  <si>
    <t xml:space="preserve">Plaza de la Constitución. Col. Centro. Del. Cuauhtémoc, México DF. </t>
  </si>
  <si>
    <t>La estación Zócalo está conectada con la siguiente estación, Pino Suárez por un pasaje peatonal donde hay exposiciones artísticas, librerías, cafeterías y un mini cinema. Para guardar la estética colonial de su entorno, la estación Zócalo es la única que no cuenta con señalamientos elevados en sus entradas.</t>
  </si>
  <si>
    <t>El ícono de la estación representa la pirámide de Ehécatl (dios del viento), la cual fue descubierta durante las excavaciones para la construcción de la estación y señala el límite sur de la gran Tenochtitlán.</t>
  </si>
  <si>
    <t>Avenida José María Izazaga y Pino Suárez. Col. Centro. Del. Cuauhtémoc, México DF.</t>
  </si>
  <si>
    <t>Se encuentra conectada con la estación Zócalo a través de un pasaje subterráneo en el que se encuentran librerías y un mini cinema. Así mismo tiene un área destinada a exposiciones artísticas temporales.</t>
  </si>
  <si>
    <t>Se encuentran en el túnel Tlaxcoaque que une 20 de Noviembre con la Calz. San Antonio Abad.</t>
  </si>
  <si>
    <t>Av. San Antonio Abad esq. Manuel M. Flores Col. Obrera y Tránsito. Del. Cuauhtémoc, México DF.</t>
  </si>
  <si>
    <t>Calzada de Tlalpan casi esq. con Segovia. Col. Álamos y Viaducto Piedad. Del. Benito Juárez, México DF.</t>
  </si>
  <si>
    <t>Calzada de Tlalpan y Xola (Eje 4 Sur). Col. Moderna y Álamos. Del. Benito Juárez, México DF.</t>
  </si>
  <si>
    <t>Calzada de Tlalpan. Col. Villa de Cortés y Niños Héroes de Chapultepec. Del. Benito Juárez, México DF.</t>
  </si>
  <si>
    <t>Calle Guipúzcoa, calle Ahorro Postal y Calzada de Tlalpan Colonia Niños Héroes de Churubusco.</t>
  </si>
  <si>
    <t xml:space="preserve">Calzada de Tlalpan. Col. Nativitas y Lago. Del. Benito Juárez, México DF. </t>
  </si>
  <si>
    <t>Calzada de Tlalpan. Col. Portales y Albert. Del. Benito Juárez, México DF.</t>
  </si>
  <si>
    <t>Calzada de Tlalpan. Col. Portales y Miravalle. Del. Benito Juárez, México DF.</t>
  </si>
  <si>
    <t>Calzada de Tlalpan. Col. Country Club y Churubusco. Del.  Coyoacán, México DF.</t>
  </si>
  <si>
    <t>Calz. de Tlalpan, Av. Taxqueña y Canal de Miramontes. Col. Campestre Churubusco. Del. Coyoacán, México DF.</t>
  </si>
  <si>
    <t>Se encuentra en la Calle Juan A. Mateos, Av. San Antonio Abad y Eje 3 Sur "Calzada Chabacano" Col. Vista Alegre, Obrera y Ampliación Asturias. Del Cuauhtémoc, México DF.</t>
  </si>
  <si>
    <t>Se encuentra en el parque del Mestizaje en la esquina de Insurgentes y Ticomán.</t>
  </si>
  <si>
    <t>Avenida de Los Insurgentes. Col. Tepeyac Insurgentes. Del. Gustavo A. Madero, México DF.</t>
  </si>
  <si>
    <t>Línea 1 del Metrobús (Indios Verdes - El Caminero)</t>
  </si>
  <si>
    <t>Avenida de Los Insurgentes. Col. Guadalupe Insurgentes y Capultitlán. Del. Gustavo A. Madero, México DF.</t>
  </si>
  <si>
    <t>Avenida Insurgentes Norte esquina Poniente 116 Colonia Capultitlán.</t>
  </si>
  <si>
    <t>Avenida Insurgentes Norte esquina Poniente 112 Colonia Capultitlán.</t>
  </si>
  <si>
    <t>Avenida de Los Insurgentes y Eje Central Lázaro Cárdenas. Col. Vallejo. Del. Gustavo A. Madero, México DF.</t>
  </si>
  <si>
    <t>Línea 3 del Metrobús (Tenayuca - Etiopia)</t>
  </si>
  <si>
    <t>El Símbolo de la estación es la silueta de uno de los edificios más característicos de la unidad, la Torre Insignia, sede del Banco Nacional de Obras y Servicios Públicos (BANOBRAS), que tiene forma de triángulo isósceles.</t>
  </si>
  <si>
    <t xml:space="preserve">Eje 2 Norte Manuel González. Unidad Nonoalco-Tlatelolco. Del.  Cuauhtémoc, México DF. </t>
  </si>
  <si>
    <t xml:space="preserve">Av. Guerrero y Eje 1 Norte. Col. Guerrero. Del. Cuauhtémoc, México DF. </t>
  </si>
  <si>
    <t>Av. Balderas y Artículo 123. Col. Centro Del. Cuauhtémoc, México DF.</t>
  </si>
  <si>
    <t>Av. Niños Héroes y Dr. Velasco. Col. Doctores. Del.  Cuauhtémoc, México DF.</t>
  </si>
  <si>
    <t>Niños Héroes y Dr. Velasco Colonia Doctores.</t>
  </si>
  <si>
    <t>Niños Héroes y Dr. Velasco Colonia Doctores</t>
  </si>
  <si>
    <t xml:space="preserve">C. Dr. Pasteur. H128Col. Doctores. Del. Cuauhtémoc, México DF. </t>
  </si>
  <si>
    <t>Línea 3 del Metrobús (Tenayuca - Etiopia).</t>
  </si>
  <si>
    <t>Av. Cuauhtémoc y Eje 3 Sur. Col. Roma Sur. Del. Cuauhtémoc, México DF.</t>
  </si>
  <si>
    <t>Av. Cuauhtémoc y Eje 4 Sur Xola. Col. Narvarte. Del. Benito Juárez, México DF.</t>
  </si>
  <si>
    <t>Surponiente: Eje 1 Poniente y Calle Anaxágoras Colonia Narvarte</t>
  </si>
  <si>
    <t>Nororiente: Eje 1 Poniente y Eje 4 sur Avenida Xola Colonia Narvarte</t>
  </si>
  <si>
    <t>Líneas 2 (Indios Verdes - El Camino) y 3 (Tenayuca - Etiopia) del Sistema de transporte Metrobús.</t>
  </si>
  <si>
    <t xml:space="preserve">Av. Cuauhtémoc y Eje 5 Sur Eugenia. Col. Vertiz Narvarte y del Valle. Del. Benito Juárez, México DF. </t>
  </si>
  <si>
    <t>Cruce de las avenidas: Av. Cuauhtémoc, División del Norte y Av. Universidad. Col. Letrán Valle, del Valle y Santa Cruz Atoyac. Del.  Benito Juárez, México DF.</t>
  </si>
  <si>
    <t>División del Norte esquina Matías Romero Oriente Colonia Letrán Valle.</t>
  </si>
  <si>
    <t>División del Norte esquina Chichén Itzá Colonia Letrán Valle.</t>
  </si>
  <si>
    <t>Cruce de las avenidas Universidad y Félix Cuevas. Col. Santa Cruz Atoyac. Del.  Benito Juárez, México DF.</t>
  </si>
  <si>
    <t>Ubicado en la Calle Mexico-Coyoacán # 40. A un costado del SportCity.</t>
  </si>
  <si>
    <t>Plaza subterránea (Túneles del metro) en las donde hay servicios como café internet, venta de cosas de uso común, 7-Eleven y otros comercios.</t>
  </si>
  <si>
    <t>El ícono de la estación es la silueta de un coyote, ya que Coyoacán es un vocablo Náhuatl que significa "Lugar de Coyotes".</t>
  </si>
  <si>
    <t>Av. Universidad, Martín Mendalde y Real de Mayorazgo. Col. Xoco y del Valle. Del.  Benito Juárez, México DF.</t>
  </si>
  <si>
    <t>Se encuentra sobre el Eje 1 Pte (Av. Cuauhtémoc) esq. Real Mayorazgo. Frente al Hospital General Xoco.</t>
  </si>
  <si>
    <t>Se encuentra sobre el Eje 1 Pte (Av. Cuauhtémoc) esq. Bruno Traven. Frente a la Cineteca Nacional.</t>
  </si>
  <si>
    <t>Se encuentra rodeado de las calles Real de Mayorazgo, San Felipe, Eje 1 Pte (Av. Cuauhtémoc) y Circuito Interior (Churubusco).</t>
  </si>
  <si>
    <t>Ubicado en el Numero 83 de Real de Mayorazgo, frente al Panteón Xoco.</t>
  </si>
  <si>
    <t>El ícono de la estación representa a una planta que brota de unas manos convertidas en palomas estas son el símbolo de la Comisión de Derechos Humanos.</t>
  </si>
  <si>
    <t>Av. Universidad y Hortensia. Col. Barrio de Santa Catarina. Del.  Coyoacán, México DF.</t>
  </si>
  <si>
    <t>El ícono de la estación representa un árbol debido a que Miguel Ángel de Quevedo (1859-1946) fue conocido como el "apóstol del árbol", al dedicar gran parte de su vida al estudio de la flora.</t>
  </si>
  <si>
    <t>Av. Universidad y Miguel Ángel de Quevedo. Col. Romero de Terreros y Chimalistac. Del. Coyoacán, México DF.</t>
  </si>
  <si>
    <t>Se encuentran sobre Miguel Angel de Quevedo Esq. con Av. Universidad.</t>
  </si>
  <si>
    <t>Eje 10 Sur Copilco. Col. Romero de Terreros. Del. Coyoacán, México DF.</t>
  </si>
  <si>
    <t>Campus central de la Universidad Nacional Autónoma de México. (Facultades más cercanas: Filosofía y Letras; Edificio A de Química; Torre de Rectoría).</t>
  </si>
  <si>
    <t>Av. Antonio Delfín Madrigal. Col. Pedregal de Santo Domingo. Del.  Coyoacán, México DF.</t>
  </si>
  <si>
    <t>Campus central de la Universidad Nacional Autónoma de México. (Facultades más cercanas: Contaduría y Administración; Ciencias).</t>
  </si>
  <si>
    <t>Av. Ferrocarril Hidalgo, Av. Martín Carrera y Av. San Juan de Aragón. Col. Martín Carrera. Del. Gustavo A. Madero, México DF.</t>
  </si>
  <si>
    <t xml:space="preserve">Eje 2 Oriente H. Congreso de la Unión y Eje 4 Norte Avenida Talismán. Col. Estrella. Del. Gustavo A. Madero, México DF.  </t>
  </si>
  <si>
    <t xml:space="preserve">Eje 2 Oriente H. Congreso de la Unión y Oriente 103, cerca del Eje 3 Norte Angel Albino Corzo. Col. Bondojito y Tablas de San Agustín. Del. Gustavo A. Madero, México DF.  </t>
  </si>
  <si>
    <t>Avenida Congreso de la Unión, esquina Oriente 101, Colonia Bondojito.</t>
  </si>
  <si>
    <t>(Solo en temporada navideña) que se localiza en la calle de Oriente 95 entre Av. Congreso de la Unión y Av. Eduardo Molina.</t>
  </si>
  <si>
    <t>El ícono de la estación es el corte transversal de un tubo que conduce agua, simbolizando al Río Consulado que actualmente se encuentra entubado.</t>
  </si>
  <si>
    <t xml:space="preserve">Av. Congreso de la Unión y Av. Río Consulado. Col. Felipe Ángeles y Col. Mártires de Río Blanco. Del. Venustiano Carranza y Gustavo A. Madero, México DF.  </t>
  </si>
  <si>
    <t>El ícono de la estación representa un corte transversal del antiguo canal que conectaba a la Villa con la Ciudad de Mexico en la época del virreinato.</t>
  </si>
  <si>
    <t xml:space="preserve">Eje 2 Oriente H. Congreso de la Unión y Talabarteros. Col. Ampliación Michoacana y Janitzio. Del. Venustiano Carranza, México DF.  </t>
  </si>
  <si>
    <t xml:space="preserve">Av. Congreso de la Unión y Av. Fray Servando Teresa de Mier. Col. Merced Balbuena. Del. Venustiano Carranza, México DF. </t>
  </si>
  <si>
    <t>Eje 2 Oriente H. Congreso de la Unión, José María Roa Barcenas, Cincel, Avenida Morelos y Compás. Col. Mixiuhca, Sevilla y Jamaica. Del. Venustiano Carranza, México DF.</t>
  </si>
  <si>
    <t>Avenida Morelos y Compás Colonia Sevilla.</t>
  </si>
  <si>
    <t>Eje 2 Oriente H. Congreso de la Unión y Av. Coyuya. Col. Santa Anita. Del. Iztacalco, México DF.</t>
  </si>
  <si>
    <t>Avenida Congreso de la Unión entre Canal Nacional y Viaducto, colonia Santa Anita.</t>
  </si>
  <si>
    <t xml:space="preserve"> Eje Central Lázaro Cárdenas (Avenida de los Cien Metros). Col. Industrial Vallejo. Del. Gustavo A. Madero., México DF.  </t>
  </si>
  <si>
    <t>El ícono de la estación es una torre petrolera, debido a que se encuentra frente al Instituto Mexicano del Petróleo.</t>
  </si>
  <si>
    <t xml:space="preserve">Eje Central Lázaro Cárdenas (Avenida de los Cien Metros). Col. Valle del Tepeyac y Col. Nueva Industrial. Del. Gustavo A. Madero., México DF.  </t>
  </si>
  <si>
    <t>Se encuentra en la esquina de Pte 134 y Eje Central (Lázaro Cardenas).</t>
  </si>
  <si>
    <t xml:space="preserve">Eje Central Lázaro Cárdenas (Avenida de los Cien Metros) y Poniente 118. Col. Ampliación Panamericana. Del. Gustavo A. Madero., México DF.  </t>
  </si>
  <si>
    <t>Avenida de los 100 metros (Central Camionera), Colonia Capultitlán.</t>
  </si>
  <si>
    <t>Av. Río Consulado y Constantino. Col. Peralvillo. Del. Gustavo A. Madero y Cuauhtémoc, México DF.</t>
  </si>
  <si>
    <t>Esta se encuentra a 5 cuadras de la Calzada de los Misterios (De la que recibe el nombre), lo cual no es tan cerca como podría parecer (350m aprox.).</t>
  </si>
  <si>
    <t>Av. Río Consulado. Col. Valle Gómez. Del. Gustavo A. Madero y Venustiano Carranza, México DF.</t>
  </si>
  <si>
    <t>El ícono de la estación es un fragmento del mural: El agua, Origen de la vida de Diego Rivera localizado en el cárcamo del Río Lerma en la segunda sección del Bosque de Chapultepec.</t>
  </si>
  <si>
    <t>Av. Río Consulado. Col. Malinche. Del. Gustavo A. Madero y Venustiano Carranza, México DF.</t>
  </si>
  <si>
    <t>Esta estación se encuentra algo retirada de la avenida que le da su nombre (a 370m de la Av. Eduardo Molina).</t>
  </si>
  <si>
    <t>El ícono de la estación representa la silueta de una ardilla, animal muy común en los bosques urbanos de la ciudad y por la cercanía al Bosque de San Juan de Aragón.</t>
  </si>
  <si>
    <t>Av. Río Consulado y Pesetas. Col. Casas Alemán. Del. Gustavo A. Madero y Venustiano Carranza, México DF.</t>
  </si>
  <si>
    <t xml:space="preserve">Blvd. Puerto Aéreo. Col. Peñón de los Baños y Moctezuma 2a sección. Del. Venustiano Carranza, México DF.  </t>
  </si>
  <si>
    <t xml:space="preserve">Fuerza Aérea Mexicana, Correos y Telégrafos. Col. Federal. Del. Venustiano Carranza, México DF.  </t>
  </si>
  <si>
    <t>Av. El Rosario y C. Tierra Colorada. Col. El Rosario. Del. Azcapotzalco, México DF.</t>
  </si>
  <si>
    <t>Ubicado en Hacienda Sotelo #2060.</t>
  </si>
  <si>
    <t>Se encuentra en la Av. de las Culturas Esq. con Cultura Griega Unidad El Rosario.</t>
  </si>
  <si>
    <t>Se encuentra en Hacienda del Rosario Esq. Manuel Salazar. Col Prados del Rosario.</t>
  </si>
  <si>
    <t>Av. Ahuehuetes y Av. Sauces. Col. Pasteros. Del. Azcapotzalco, México DF.</t>
  </si>
  <si>
    <t>Campo Chopo y Antigua Calzada de Guadalupe. Col. Reynosa Tamaulipas. Del. Azcapotzalco, México DF.</t>
  </si>
  <si>
    <t>Campo Chopo y Avenida Refinería Azcapotzalco Colonia Reynosa Tamaulipas.</t>
  </si>
  <si>
    <t>Se encuentra sobre la Av. Azcapotzalco esq. Jerusalén.</t>
  </si>
  <si>
    <t>Avenida de las Granjas y antigua Calzada de Guadalupe. Col. Santa Catarina. Del. Azcapotzalco, México DF.</t>
  </si>
  <si>
    <t>Calzada Azcapotzalco La Villa. Col. Pueblo las Salinas. Del. Azcapotzalco, México DF.</t>
  </si>
  <si>
    <t>Calzada Azcapotzalco La Villa y Poniente 128. Col. Vallejo. Del. Azcapotzalco, México DF.</t>
  </si>
  <si>
    <t xml:space="preserve">Avenida Instituto Politécnico Nacional y Colector 13. Col. Lindavista. Del. Gustavo A. Madero, México DF.  </t>
  </si>
  <si>
    <t>Se encuentra Ubicado Sobre la Calle Río Bamba, frente al SportCity Lindavista.</t>
  </si>
  <si>
    <t xml:space="preserve">Calzada. De Guadalupe y Alberto Herrera. Col. Col. Villa Gustavo A. Madero. Del. Gustavo A. Madero, México DF.  </t>
  </si>
  <si>
    <t>Ubicado en Plaza de las Américas 1. Col. La Villa.</t>
  </si>
  <si>
    <t>Avenida Aquiles Serdán casi esq. con Tezozomoc. Col. Tezozomoc. Del. Azcapotzalco, México DF.</t>
  </si>
  <si>
    <t>Avenida Ferrocarriles Nacionales y Eje 3 Norte "Santa Apolonia". Col. Barrio Santa Cruz Acayucan. Del. Azcapotzalco, México DF.</t>
  </si>
  <si>
    <t>El ícono de la estación representa los contenedores de petróleo y gasolina regular de la refinería de Azcapotzalco de PEMEX que se encontraba en la Delegación Azcapotzalco, ahora convertida en el Parque Bicentenario.</t>
  </si>
  <si>
    <t xml:space="preserve">Avenida Ferrocarriles Nacionales y Avenida 5 de mayo. Col. Angel Zimbron. Del. Azcapotzalco, México DF.  </t>
  </si>
  <si>
    <t>Ubicado en la Calzada. 5 de mayo.</t>
  </si>
  <si>
    <t xml:space="preserve">Lago Hielmar entre Lago Naur y Lago Ginebra. Col. Pensil Sur. Del. Miguel Hidalgo, México DF.  </t>
  </si>
  <si>
    <t>Horacio y Arquímedes-Lago Onega. Col. Polanco. Del. Miguel Hidalgo, México DF.</t>
  </si>
  <si>
    <t>Avenida Arquímedes casi esquina con Avenida Temístocles Colonia Polanco.</t>
  </si>
  <si>
    <t>Avenida Arquímedes casi esquina con Avenida Horacio Colonia Polanco.</t>
  </si>
  <si>
    <t>Paseo de la Reforma y Chivatito-Arquímedes. Col. Polanco Chapultepec. Del. Miguel Hidalgo, México DF.</t>
  </si>
  <si>
    <t>Calzada Chivatito casi esquina Avenida Paseo de la Reforma Colonia Polanco Chapultepec.</t>
  </si>
  <si>
    <t>Av. Parque Lira, Calle Gobernador Ignacio Esteva y Av. Constituyentes. Col. San Miguel Chapultepec y Ampliación Daniel Garza. Del. Miguel Hidalgo, México DF.</t>
  </si>
  <si>
    <t>Casa del Presidente de los Estados Unidos Mexicanos, Con dirección, Residencia Oficial de Los Pinos, Puerta 2, Casa Miguel Alemán, PB, Col. San Miguel Chapultepec.</t>
  </si>
  <si>
    <t>Se encuentra ubicado en la 2a Sección del Bosque de Chapultepec, En la Av. Constituyentes No. 220.</t>
  </si>
  <si>
    <t>Se encuentra ubicado en la 2a Sección del Bosque de Chapultepec, a un costado del Papalote Museo del Niño.</t>
  </si>
  <si>
    <t>Se encuentra en el Circuito del Bosque de Chapultepec 2a Sección.</t>
  </si>
  <si>
    <t>Avenida Revolución y calle 4-calle 9. Col. San Pedro de los Pinos. Del. Benito Juárez, México DF.</t>
  </si>
  <si>
    <t>Avenida Revolución entre Eje 6 Sur "Tintoreto" y Eje 5 Sur "San Antonio". Col. Nonoalco. Del. Benito Juárez, México DF.</t>
  </si>
  <si>
    <t>Av. Revolución y Eje 7 Sur "Extremadura"-Benvenuto Cellini. Col. Mixcoac. Del. Benito Juárez, México DF.</t>
  </si>
  <si>
    <t>El ícono de la estación representa dos águilas en vuelo.</t>
  </si>
  <si>
    <t>Av. Revolución y Cóndor. Col. Guadalupe Inn. Del. Álvaro Obregón, México DF.</t>
  </si>
  <si>
    <t>Ubicado en la Avenida Revolución No. 1182 Del. Benito Juárez.</t>
  </si>
  <si>
    <t>Se encuentra sobre Barranca del Muerto con número 280, Col. Guadalupe Inn.</t>
  </si>
  <si>
    <t>Eje Central Lázaro Cárdenas, Republica de Uruguay y Victoria. Col. Centro. Del. Cuauhtémoc, México DF.</t>
  </si>
  <si>
    <t>Eje Central Lázaro Cárdenas y Dr. Liceaga. Col. Obrera y Doctores. Del. Cuauhtémoc, México DF.</t>
  </si>
  <si>
    <t>Eje Central Lázaro Cárdenas, Dr. Arce y Fernando Ramírez. Col. Obrera y Doctores. Del. Cuauhtémoc, México DF.</t>
  </si>
  <si>
    <t xml:space="preserve">Calzada La Viga, Guillermo Prieto y Tena Ventura. Col. Asturias, Ampliación Asturias, Jamaica. Del. Cuauhtémoc y Venustiano Carranza, México DF.  </t>
  </si>
  <si>
    <t xml:space="preserve">Francisco del Paso y Troncoso (Eje 3 Oriente) y Plutarco Elías (Eje 4 Sur). Col. Granjas México, Tlazintla, Fraccionamiento Coyuya y Barrio los Reyes. Del. Iztacalco, México DF. </t>
  </si>
  <si>
    <t>Francisco del Paso y Troncoso esquina Eje 4 Sur (Plutarco Elías Calles, Zona de Bancos, Col. Granjas México)</t>
  </si>
  <si>
    <t>Francisco del Paso y Troncoso esquina Eje 4 Sur (Plutarco Elías Calles, Col. Tlazintla)</t>
  </si>
  <si>
    <t>Francisco del Paso y Troncoso esquina Eje 4 Sur (Plutarco Elías Calles, Col. Fraccionamiento Coyuya/Sta. Anita)</t>
  </si>
  <si>
    <t>Francisco del Paso y Troncoso esquina Eje 4 Sur (Plutarco Elías Calles, Col. Barrio de los Reyes)</t>
  </si>
  <si>
    <t xml:space="preserve">Eje 3 Oriente Francisco del Paso y Troncoso y Avenida Canal de Tezontle. Col. Los Picos de Iztacalco. Del. Iztacalco, México DF.  </t>
  </si>
  <si>
    <t xml:space="preserve">Eje 3 Oriente Francisco del Paso y Troncoso y Eje 5 Sur Purísima. Col. Purísima Atlazolpa, Pueblo Magdalena Atlazolpa, Purísima Atlazolpa y Nueva Rosita. Del. Iztapalapa, México DF.  </t>
  </si>
  <si>
    <t>Francisco del Paso y Troncoso (Eje 3 Ote) esquina Avenida Santa María Purísima (Eje 5 Sur, Col. Purísima Atlazolpa)</t>
  </si>
  <si>
    <t>Francisco del Paso y Troncoso (Eje 3 Ote) esquina Avenida Santa María Purísima (Eje 5 Sur, col Apatlaco)</t>
  </si>
  <si>
    <t>Av. Francisco del Paso y Troncoso esq. Av. Trabajadoras Sociales. Col. Pueblo Magdalena Atlazolpa, Pueblo Aculco. Del. Iztapalapa, México DF.</t>
  </si>
  <si>
    <t xml:space="preserve">Av. 5 esq. Agustín Yáñez. y Av. 5 esq. C. 6  Col. Escuadrón 201 y Granjas San Antonio. Del. Iztapalapa, México DF.  </t>
  </si>
  <si>
    <t xml:space="preserve">Av. Ermita-Iztapalapa esq. Calz. Ermita-Iztapalapa, Col. Barrio de Santa Bárbara, El Santuario y Santa Isabel Industrial Del. Iztapalapa, México DF.  </t>
  </si>
  <si>
    <t xml:space="preserve">Av. Ermita-Iztapalapa esq. Hombres Ilustres y E. Corona Col. Barrio San Pablo y El Santuario. Del. Iztapalapa, México DF.  </t>
  </si>
  <si>
    <t>El icono de la estación está conformado por un cerro, tres cruces y una estrella, que representan gráficamente el nombre de la estación y la  representación de la  crucifixión de Jesús realizada precisamente en el Cerro de la Estrella.</t>
  </si>
  <si>
    <t>Calz. Ermita-Iztapalapa esq. Av. Javier Rojo Gómez y Camino Real a San Lorenzo. Col. Bo. San Miguel y El Manto. Del. Iztapalapa, México DF.</t>
  </si>
  <si>
    <t>Calz. Ermita-Iztapalapa esq. Colón y San Felipe, Av. San Lorenzo, Bo. San Miguel Col. El Manto y Los Ángeles Del. Iztapalapa, México DF.</t>
  </si>
  <si>
    <t>Calz. Ermita-Iztapalapa esq. Luis Manuel Rojas y Periférico Canal de Garay. Col. Constitución de 1917 y Los Ángeles. Del. Iztapalapa, México DF.</t>
  </si>
  <si>
    <t>Benjamín Franklin y Gral. Salvador Alvarado. Col. Escandón e Hipódromo Condesa. Del. Miguel Hidalgo y Cuauhtémoc, México DF.</t>
  </si>
  <si>
    <t xml:space="preserve">Eje 3 Sur "Baja California" e Insurgentes Sur Col. Roma Norte. Del. Cuauhtémoc, México DF.  </t>
  </si>
  <si>
    <t>El ícono de la estación representa la silueta de Lázaro Cárdenas del Río, presidente de México que expropio las compañías extranjeras que extraían el petróleo mexicano (Expropiación Petrolera) y que ayudo a los españoles refugiados durante la Guerra Civil Española.</t>
  </si>
  <si>
    <t>Eje 3 Sur "Jose Peón Contreras" y Eje Central "Lázaro Cardenas. Col. Obrera. Del. Cuauhtémoc, México DF.</t>
  </si>
  <si>
    <t>Viaducto Río de la Piedad. Col. Jardín Balbuena. Del. Venustiano Carranza e Iztacalco, México DF.</t>
  </si>
  <si>
    <t>Arena de la Ciudad de México, actualmente recinto de eventos como conciertos, ferias comerciales y exposiciones. Ubicado en Av. Viaducto Río de la Piedad y Río Churubusco S/N  Granjas.</t>
  </si>
  <si>
    <t>Circuito de 4421 m (2747 millas), ubicado en Av. Río Churubusco, dentro de la Ciudad Deportiva Magdalena Mixiuhca, Puerta 5.</t>
  </si>
  <si>
    <t>Viaducto Río de la Piedad y Calle 45. Col. Ignacio Zaragoza. Del. Venustiano Carranza e Iztacalco, México DF.</t>
  </si>
  <si>
    <t>Viaducto Río de la Piedad y Calle 75. Col. Puebla. Del. Venustiano Carranza e Iztacalco, México DF.</t>
  </si>
  <si>
    <t>Calzada Ignacio Zaragoza y Calle 1, Col. Agrícola Oriental. Del. Iztacalco, México DF.</t>
  </si>
  <si>
    <t>Ubicado en Pról. Periférico Oriente S/N Esq. Sur 24 Col. Agrícola Oriental.</t>
  </si>
  <si>
    <t xml:space="preserve">Calzada Ignacio Zaragoza, 1er. Retorno de sur 10 y Avenida Canal de San Juan. Col. Juárez Pantitlán. Del. Iztacalco, México DF.  </t>
  </si>
  <si>
    <t>Ubicado en Pról. Rojo Gómez esq. Eje 1 Norte.</t>
  </si>
  <si>
    <t>El ícono de la estación representa una vasija prehispánica procedente de los estados mexicanos de Puebla o Tlaxcala ya que a palabra náhuatl "tepalcatl" significa trasto de barro.</t>
  </si>
  <si>
    <t xml:space="preserve">Calzada. Ignacio Zaragoza, entre las calles J. M. Chávez y Gral. Cortázar. Col. Juan Escutia y U. Hab. Guelatao de J. Del. Iztapalapa, México DF.  </t>
  </si>
  <si>
    <t>Metrobús Línea 2</t>
  </si>
  <si>
    <t>Calzada. Ignacio Zaragoza y General Miguel Lira y Ortega, Col. Voceadores. Del. Iztapalapa, México DF.</t>
  </si>
  <si>
    <t>Calzada. Ignacio Zaragoza. Col. Santa Martha Acatitla. Del. Iztapalapa, México DF.</t>
  </si>
  <si>
    <t>Calzada Ignacio Zaragoza y Sentimientos de la Nación. Col. Santa Martha Acatitla. Del. Iztapalapa, México DF.</t>
  </si>
  <si>
    <t>Calzada Ignacio Zaragoza y puente vehicular Amador Salazar Colonia Santa Martha Acatitla</t>
  </si>
  <si>
    <t>El ícono de la estación es la imagen de la santa patrona de la región: Santa Marta, con un cántaro entre sus manos.</t>
  </si>
  <si>
    <t xml:space="preserve">Calzada Ignacio Zaragoza, Galeana, Generalísimo Morelos y andadores Rocha y Pardiñas. Col. Ermita Zaragoza. Del. Iztapalapa, México DF.  </t>
  </si>
  <si>
    <t>Av. Puebla, Galeana, Generalísimo Morelos y andadores Rocha y Pardiñas. Col. Ermita Zaragoza. Municipio. Los Reyes La Paz, Estado de México</t>
  </si>
  <si>
    <t>También conocido como mexipuerto, sirve como terminal y paradero para diversos tipos de transporte público, entre los que destacan el Metro y el nuevo sistema Mexibús, así como microbuses, taxis y autobuses. Además incluye un moderno centro comercial con diversas tiendas y restaurantes (Tiendas de ropa, servicios, hospital, zona de comida, cine).</t>
  </si>
  <si>
    <t>Avenida Carlos Hank González. Col. Ignacio Allende y Valle de Santiago. Ecatepec, Estado de México.</t>
  </si>
  <si>
    <t>Avenida Central y Grecia Colonia La Olímpica II.</t>
  </si>
  <si>
    <t>El ícono de la estación corresponde al glifo prehispánico que identifica al municipio, es decir, la palabra Ecatepec significa "Cerro del Viento", ya que es la cabeza del Dios azteca Ehécatl (Viento) y la parte de abajo es el jeroglífico azteca que representaba a un cerro.</t>
  </si>
  <si>
    <t>Avenida 608 casi esquina Avenida 412. Col. San Juan de Aragón. Gustavo A. Madero, México DF.</t>
  </si>
  <si>
    <t>El ícono de la estación está formado por 3 árboles, que hacen referencia al bosque de donde toma su nombre.</t>
  </si>
  <si>
    <t>Avenida 608 casi esquina con Avenida 602.Col. Unidad San Juan de Aragón. Gustavo A. Madero, México DF.</t>
  </si>
  <si>
    <t>Avenida 608 casi esquina con Avenida 602. Col. San Juan de Aragón. Gustavo A. Madero, México DF.</t>
  </si>
  <si>
    <t xml:space="preserve">Av. Oceanía. Col. Pensador Mexicano y Romero Rubio. Límite Venustiano Carranza y Gustavo A. Madero., México DF. </t>
  </si>
  <si>
    <t>El ícono de la estación es el busto de Romero Rubio, quien fue un abogado que fue secretario de gobernación en 1884.</t>
  </si>
  <si>
    <t>Av. Oceanía. Col. Moctezuma 2a sección y Romero Rubio. Del. Venustiano Carranza, México DF.</t>
  </si>
  <si>
    <t>Av. Oceanía. Col. Moctezuma 2a sección y Revolución. Venustiano Carranza, México DF.</t>
  </si>
  <si>
    <t xml:space="preserve">Av. Eduardo Molina y Calzada. Ignacio Zaragoza. Col. 7 de Julio y Col. Doctores (salida sur). Del.  Venustiano Carranza, México DF.  </t>
  </si>
  <si>
    <t>Av. Congreso de la Unión y Eje 1 Norte. Col. Morelos. Del. Venustiano Carranza, México DF.</t>
  </si>
  <si>
    <t>El ícono de la estación, es el símbolo icnográfico que en los Juegos Olímpicos de 1968 representó al boxeo, esto en recuerdo de que en el barrio de Tepito han nacido muchos conocidos boxeadores mexicanos, como Rubén Olivares "El Púas", Octavio "El Famoso" Gomez, etc.</t>
  </si>
  <si>
    <t xml:space="preserve">Eje 1 Norte y Eje 1 Oriente. Col. Morelos. Del Cuauhtémoc, México DF. </t>
  </si>
  <si>
    <t>Eje 1 Norte y Jesús Carranza, Argentina y Brasil. Col. Morelos. Del. Cuauhtémoc, México DF.</t>
  </si>
  <si>
    <t>Paseo de la Reforma, Eje Central Lázaro Cárdenas y Eje 1 Norte. Cuauhtémoc, México DF.</t>
  </si>
  <si>
    <t>Av. Guerrero y Eje 1 Norte. Col. Guerrero. Del. Cuauhtémoc, México DF.</t>
  </si>
  <si>
    <t>Avenida de los Insurgentes y Eje 1 Norte. Col. Buenavista. Del Cuauhtémoc, México DF.</t>
  </si>
  <si>
    <t>Estación conectada con Metrobús líneas 1 (Indios Verdes - El Caminero) 3 (Tenayuca - Etiopía/Plaza de la Transparencia) y 4 (Corredor Buenavista-Centro Histórico-Aeropuerto)</t>
  </si>
  <si>
    <t>Dirección : Avenida Carlos Hank González. Col. Ignacio Allende y Valle de Santiago. Ecatepec, Estado de México.</t>
  </si>
  <si>
    <t>Logo : El ícono de la estación corresponde al glifo prehispánico que identifica al municipio, es decir, la palabra Ecatepec significa "Cerro del Viento", ya que es la cabeza del Dios azteca Ehécatl (Viento) y la parte de abajo es el jeroglífico azteca que representaba a un cerro.</t>
  </si>
  <si>
    <t xml:space="preserve"> Universidad Pedagógica Nacional de México: Centro de estudios superiores en Pedagogía.</t>
  </si>
  <si>
    <t xml:space="preserve"> Tecnológico de Ecatepec: Centro de estudios superiores</t>
  </si>
  <si>
    <t xml:space="preserve"> Delegación: Unidad Administrativa Zona Norte (La Bola)</t>
  </si>
  <si>
    <t>Dirección : Avenida 608 casi esquina Avenida 412. Col. San Juan de Aragón. Gustavo A. Madero, México DF.</t>
  </si>
  <si>
    <t xml:space="preserve"> Cetis No. 56: Centro de estudios de educación Media Superior</t>
  </si>
  <si>
    <t xml:space="preserve"> Inst. Tecnológico Gustavo A. Madero: Centro de estudios superiores</t>
  </si>
  <si>
    <t>Logo : El ícono de la estación está formado por 3 árboles, que hacen referencia al bosque de donde toma su nombre.</t>
  </si>
  <si>
    <t>Dirección : Avenida 608 casi esquina con Avenida 602.Col. Unidad San Juan de Aragón. Gustavo A. Madero, México DF.</t>
  </si>
  <si>
    <t>Dirección : Avenida 608 casi esquina con Avenida 602. Col. San Juan de Aragón. Gustavo A. Madero, México DF.</t>
  </si>
  <si>
    <t xml:space="preserve">Dirección : Av. Oceanía. Col. Pensador Mexicano y Romero Rubio. Límite Venustiano Carranza y Gustavo A. Madero., México DF. </t>
  </si>
  <si>
    <t>Logo : El ícono de la estación es el busto de Romero Rubio, quien fue un abogado que fue secretario de gobernación en 1884.</t>
  </si>
  <si>
    <t>Dirección : Av. Oceanía. Col. Moctezuma 2a sección y Romero Rubio. Del. Venustiano Carranza, México DF.</t>
  </si>
  <si>
    <t>Dirección : Av. Oceanía. Col. Moctezuma 2a sección y Revolución. Venustiano Carranza, México DF.</t>
  </si>
  <si>
    <t xml:space="preserve">Dirección : Av. Eduardo Molina y Calzada. Ignacio Zaragoza. Col. 7 de Julio y Col. Doctores (salida sur). Del.  Venustiano Carranza, México DF.  </t>
  </si>
  <si>
    <t>Dirección : Av. Congreso de la Unión y Eje 1 Norte. Col. Morelos. Del. Venustiano Carranza, México DF.</t>
  </si>
  <si>
    <t>Logo : El ícono de la estación, es el símbolo icnográfico que en los Juegos Olímpicos de 1968 representó al boxeo, esto en recuerdo de que en el barrio de Tepito han nacido muchos conocidos boxeadores mexicanos, como Rubén Olivares "El Púas", Octavio "El Famoso" Gomez, etc.</t>
  </si>
  <si>
    <t xml:space="preserve">Dirección : Eje 1 Norte y Eje 1 Oriente. Col. Morelos. Del Cuauhtémoc, México DF. </t>
  </si>
  <si>
    <t>Dirección : Eje 1 Norte y Jesús Carranza, Argentina y Brasil. Col. Morelos. Del. Cuauhtémoc, México DF.</t>
  </si>
  <si>
    <t>Dirección : Paseo de la Reforma, Eje Central Lázaro Cárdenas y Eje 1 Norte. Cuauhtémoc, México DF.</t>
  </si>
  <si>
    <t>Dirección : Av. Guerrero y Eje 1 Norte. Col. Guerrero. Del. Cuauhtémoc, México DF.</t>
  </si>
  <si>
    <t>Dirección : Avenida de los Insurgentes y Eje 1 Norte. Col. Buenavista. Del Cuauhtémoc, México DF.</t>
  </si>
  <si>
    <t xml:space="preserve">Logo : </t>
  </si>
  <si>
    <t xml:space="preserve">Dirección : </t>
  </si>
  <si>
    <t xml:space="preserve">Salida : </t>
  </si>
  <si>
    <t>Logo : El ícono de la estación representa dos espigas de trigo.</t>
  </si>
  <si>
    <t>Dirección : Calzada Ignacio Zaragoza y Calle 1, Col. Agrícola Oriental. Del. Iztacalco, México DF.</t>
  </si>
  <si>
    <t>Salida Norte: Calzada Ignacio Zaragoza y Calle 1 Colonia Agrícola Oriental.</t>
  </si>
  <si>
    <t>Salida Sur: 1er. Retorno de Eje 5 Oriente y Calzada Ignacio Zaragoza Colonia Agrícola Oriental.</t>
  </si>
  <si>
    <t xml:space="preserve"> CCH Oriente: Ubicado en Pról. Periférico Oriente S/N Esq. Sur 24 Col. Agrícola Oriental.</t>
  </si>
  <si>
    <t>Logo : El ícono de la estación representa la parte delantera de una canoa Azteca navegando en un canal.</t>
  </si>
  <si>
    <t xml:space="preserve">Dirección : Calzada Ignacio Zaragoza, 1er. Retorno de sur 10 y Avenida Canal de San Juan. Col. Juárez Pantitlán. Del. Iztacalco, México DF.  </t>
  </si>
  <si>
    <t>Salida Sur: 1er. Retorno de sur 10 y Avenida Canal de San Juan Colonia Juárez Pantitlán</t>
  </si>
  <si>
    <t>Salida Norte: Calz. Ignacio Zaragoza</t>
  </si>
  <si>
    <t xml:space="preserve"> Ex Balneario Olímpico de la Ciudad de México: Ubicado en Pról. Rojo Gómez esq. Eje 1 Norte.</t>
  </si>
  <si>
    <t>Logo : El ícono de la estación representa una vasija prehispánica procedente de los estados mexicanos de Puebla o Tlaxcala ya que a palabra náhuatl "tepalcatl" significa trasto de barro.</t>
  </si>
  <si>
    <t xml:space="preserve">Dirección : Calzada. Ignacio Zaragoza, entre las calles J. M. Chávez y Gral. Cortázar. Col. Juan Escutia y U. Hab. Guelatao de J. Del. Iztapalapa, México DF.  </t>
  </si>
  <si>
    <t>Salida Norte: Calzada Ignacio Zaragoza y General Baca Calderón Colonia Juan Escutia.</t>
  </si>
  <si>
    <t>Salida Sur: Calzada Ignacio Zaragoza casi Avenida Telecomunicaciones Colonia U. Hab. Guelatao de J.</t>
  </si>
  <si>
    <t>Logo : El ícono de la estación es la silueta de la cabeza de Benito Juárez ya que cerca de la estación se encuentra un conocido monumento diseñado por el muralista David Alfaro Siqueiros conocido popularmente como "Cabeza de Juárez".</t>
  </si>
  <si>
    <t>Dirección : Calzada. Ignacio Zaragoza y General Miguel Lira y Ortega, Col. Voceadores. Del. Iztapalapa, México DF.</t>
  </si>
  <si>
    <t>Salida Norte: Calzada Ignacio Zaragoza y General Miguel Lira y Ortega Colonia Voceadores</t>
  </si>
  <si>
    <t>Salida Sur: Calzada Ignacio Zaragoza y Batallón de la Zacapoaxtla Colonia Ejercito de Oriente.</t>
  </si>
  <si>
    <t xml:space="preserve"> Cabeza de Juarez: Ubicado en la glorieta que forma la Avenida Guelatao frente a la FES Zaragoza de la UNAM (Cafetería y Edif. De Gobierno).</t>
  </si>
  <si>
    <t xml:space="preserve"> Facultad de Estudios Superiores Zaragoza de la UNAM: (FES-Zaragoza)Se encuentra sobre la Calle Batalla 5 de Mayo S/N.</t>
  </si>
  <si>
    <t>Logo : El ícono del a estación es un peñón, basado en la forma como los aztecas representaban algunos peñones; según el plano reconstructivo de la región del Tenochtitlán de Luis González Aparicio.</t>
  </si>
  <si>
    <t>Dirección : Calzada. Ignacio Zaragoza. Col. Santa Martha Acatitla. Del. Iztapalapa, México DF.</t>
  </si>
  <si>
    <t>Salida Norte: Calzada Ignacio Zaragoza y Marco López Jiménez Colonia Santa Martha Acatitla Norte.</t>
  </si>
  <si>
    <t>Salida Sur: Calzada Ignacio Zaragoza entre Luis Jasso y República Federal Sur Colonia Santa Martha Acatitla Sur.</t>
  </si>
  <si>
    <t>Logo : El ícono de la estación es el pictograma del día caña del calendario solar azteca ya que Acatitla significa en náhuatl, entre las cañas.</t>
  </si>
  <si>
    <t>Dirección : Calzada Ignacio Zaragoza y Sentimientos de la Nación. Col. Santa Martha Acatitla. Del. Iztapalapa, México DF.</t>
  </si>
  <si>
    <t>Salida Norte: Calzada Ignacio Zaragoza y Sentimientos de la Nación Colonia Ermita Zaragoza.</t>
  </si>
  <si>
    <t>Salida Sur: Calzada Ignacio Zaragoza y puente vehicular Amador Salazar Colonia Santa Martha Acatitla</t>
  </si>
  <si>
    <t>Logo : El ícono de la estación es la imagen de la santa patrona de la región: Santa Marta, con un cántaro entre sus manos.</t>
  </si>
  <si>
    <t xml:space="preserve">Dirección : Calzada Ignacio Zaragoza, Galeana, Generalísimo Morelos y andadores Rocha y Pardiñas. Col. Ermita Zaragoza. Del. Iztapalapa, México DF.  </t>
  </si>
  <si>
    <t>Salida Norponiente: Generalísimo Morelos y andadores Rocha y Pardiñas Colonia Ermita Zaragoza.</t>
  </si>
  <si>
    <t>Salida Nororiente: Generalísimo Morelos y Galeana Colonia Ermita Zaragoza.</t>
  </si>
  <si>
    <t>Salida Suroriente: Calzada Ignacio Zaragoza Colonia Lomas de Zaragoza.</t>
  </si>
  <si>
    <t>Logo : El ícono de la estación representa las coronas de los tres Reyes Magos.</t>
  </si>
  <si>
    <t>Dirección : Av. Puebla, Galeana, Generalísimo Morelos y andadores Rocha y Pardiñas. Col. Ermita Zaragoza. Municipio. Los Reyes La Paz, Estado de México</t>
  </si>
  <si>
    <t>Salida Norte: Calle Porfirio Díaz Colonia Los Reyes Acaquilpa.</t>
  </si>
  <si>
    <t>Salida Sur: Calle Pensador Mexicano Juárez Colonia Valle de los Remedios.</t>
  </si>
  <si>
    <t>Logo : El ícono de la estación representa una paloma de la paz, símbolo seleccionado por Pablo Picasso en 1949 para representar el Movimiento de la Paz.</t>
  </si>
  <si>
    <t>Dirección : Carretera Federal Mexico- Puebla. Los Reyes La Paz, Estado de México.</t>
  </si>
  <si>
    <t>Salida Norte: Carretera Federal Mexico- Puebla Norte, Municipio de La Paz.</t>
  </si>
  <si>
    <t>Salida Sur: Carretera Federal Mexico-Puebla sur, Municipio de la Paz.</t>
  </si>
  <si>
    <t>Logo : El ícono de la estación representa a la bandera de México. Uno de los símbolos nacionales con los que se identifican los ciudadanos mexicanos.</t>
  </si>
  <si>
    <t>Dirección : Benjamín Franklin y Gral. Salvador Alvarado. Col. Escandón e Hipódromo Condesa. Del. Miguel Hidalgo y Cuauhtémoc, México DF.</t>
  </si>
  <si>
    <t>Salida Norte: Benjamin Franklin y General Salvador Alvarado, Colonia Hipódromo Condesa.</t>
  </si>
  <si>
    <t>Salida Sur: Benjamin Franklin y General Salvador Alvarado, Colonia Escandón.</t>
  </si>
  <si>
    <t>Logo : El ícono de la estación representa a una avispa ya que Chilpancingo es una palabra náhuatl que significa lugar de avispas.</t>
  </si>
  <si>
    <t xml:space="preserve">Dirección : Eje 3 Sur "Baja California" e Insurgentes Sur Col. Roma Norte. Del. Cuauhtémoc, México DF.  </t>
  </si>
  <si>
    <t>Salida Nororiente: Avenida Baja California y Tuxpan e Insurgentes, Colonia Roma Norte.</t>
  </si>
  <si>
    <t>Salida Suroriente: Avenida Baja California y Tuxpan e Insurgentes, Colonia Roma sur.</t>
  </si>
  <si>
    <t>Salida Norponiente: Chilpancingo, Avenida Baja California e Insurgentes, Col Hipódromo Condesa.</t>
  </si>
  <si>
    <t>Salida Surponiente: Chilpancingo, Avenida Baja California e Insurgentes, Col Hipódromo Condesa.</t>
  </si>
  <si>
    <t xml:space="preserve"> Secretaría de Agricultura, Ganadería, Desarrollo Rural, Pesca y Alimentación: Ubicada en Av. Insurgentes Sur No. 489.</t>
  </si>
  <si>
    <t>Logo : El ícono de la estación representa la silueta de Lázaro Cárdenas del Río, presidente de México que expropio las compañías extranjeras que extraían el petróleo mexicano (Expropiación Petrolera) y que ayudo a los españoles refugiados durante la Guerra Civil Española.</t>
  </si>
  <si>
    <t>Dirección : Eje 3 Sur "Jose Peón Contreras" y Eje Central "Lázaro Cardenas. Col. Obrera. Del. Cuauhtémoc, México DF.</t>
  </si>
  <si>
    <t>Salida Nororiente: Eje Lázaro Cárdenas y Eje 3 sur, Colonia Obrera.</t>
  </si>
  <si>
    <t>Salida Sur Oriente: Eje Lázaro Cárdenas y Eje 3 sur, Colonia Algarín.</t>
  </si>
  <si>
    <t>Salida Norponiente: Eje Lázaro Cárdenas y Eje 3 sur, Colonia Doctores.</t>
  </si>
  <si>
    <t>Salida Surponiente: Eje Lázaro Cárdenas y Eje 3 sur, Colonia Buenos Aires.</t>
  </si>
  <si>
    <t>Logo : El ícono de la estación representa a una mujer con un niño, ya que en náhuatl la palabra Mixiuhca significa "lugar de parto".</t>
  </si>
  <si>
    <t>Dirección : Eje 3 Sur "Morelos" y Eje 3 Oriente "Francisco del Paso y Troncoso". Col. Magdalena Mixiuhca. Del. Venustiano Carranza, México, D. F.</t>
  </si>
  <si>
    <t>Salida Nororiente: Francisco del Paso y Troncoso Avenida Morelos Colonia Jardín Balbuena</t>
  </si>
  <si>
    <t>Salida Suroriente: Francisco del Paso y Troncoso Avenida Morelos Colonia Magdalena Mixiuhca</t>
  </si>
  <si>
    <t xml:space="preserve"> Mercado de Peces de Mixiuhca: Se encuentra en la calle Río Frío a una calle de Francisco del Paso y Troncoso.</t>
  </si>
  <si>
    <t xml:space="preserve"> Ciudad Deportiva Magdalena Mixiuhca: Complejo deportivo, ubicado entre las delegaciones Iztacalco y Venustiano Carranza en la Ciudad de México</t>
  </si>
  <si>
    <t>Logo : El ícono de la estación representa a un ciclista.</t>
  </si>
  <si>
    <t>Dirección : Viaducto Río de la Piedad. Col. Jardín Balbuena. Del. Venustiano Carranza e Iztacalco, México DF.</t>
  </si>
  <si>
    <t>Salida Norte: Viaducto Río de la Piedad, Colonia Jardín Balbuena.</t>
  </si>
  <si>
    <t>Salida Sur: Viaducto Río de la Piedad, Colonia Granjas México.</t>
  </si>
  <si>
    <t xml:space="preserve"> Velódromo Olímpico Agustín Melgar.: Instalación deportiva usada principalmente para eventos de ciclismo, el velódromo se encuentra en la Ciudad Deportiva Magdalena Mixiuhca.</t>
  </si>
  <si>
    <t xml:space="preserve"> Palacio de los Deportes.: Arena de la Ciudad de México, actualmente recinto de eventos como conciertos, ferias comerciales y exposiciones. Ubicado en Av. Viaducto Río de la Piedad y Río Churubusco S/N  Granjas.</t>
  </si>
  <si>
    <t xml:space="preserve"> Autódromo Hermanos Rodríguez: Circuito de 4421 m (2747 millas), ubicado en Av. Río Churubusco, dentro de la Ciudad Deportiva Magdalena Mixiuhca, Puerta 5.</t>
  </si>
  <si>
    <t xml:space="preserve"> Foro Sol: Recinto destinado principalmente para la realización de eventos masivos y como estadio de Béisbol ("Infierno Solar"), ubicado en el interior de la Ciudad Deportiva Magdalena Mixiuhca. Dentro de las curvas 1 y 2 del Autodromo H. Rodriguez.</t>
  </si>
  <si>
    <t>Logo : El ícono de la estación representa a un jugador de Juego de Pelota.</t>
  </si>
  <si>
    <t>Dirección : Viaducto Río de la Piedad y Calle 45. Col. Ignacio Zaragoza. Del. Venustiano Carranza e Iztacalco, México DF.</t>
  </si>
  <si>
    <t>Salida Norte: Viaducto Río de la Piedad y 45, Colonia Ignacio Zaragoza.</t>
  </si>
  <si>
    <t xml:space="preserve"> Autódromo Hermanos Rodríguez.: Circuito de 4421 m (2747 millas), ubicado en Av. Río Churubusco, dentro de la Ciudad Deportiva Magdalena Mixiuhca, Puerta 5.</t>
  </si>
  <si>
    <t xml:space="preserve"> Foro Sol.: Recinto destinado principalmente para la realización de eventos masivos y como estadio de Béisbol ("Infierno Solar"), ubicado en el interior de la Ciudad Deportiva Magdalena Mixiuhca. Dentro de las curvas 1 y 2 del Autodromo H. Rodriguez.</t>
  </si>
  <si>
    <t>Logo : El símbolo representa a unos ángeles ya que el nombre de completo de Puebla es Puebla de los Ángeles.</t>
  </si>
  <si>
    <t>Dirección : Viaducto Río de la Piedad y Calle 75. Col. Puebla. Del. Venustiano Carranza e Iztacalco, México DF.</t>
  </si>
  <si>
    <t>Salida Norte: Viaducto Río de la Piedad, Colonia Puebla.</t>
  </si>
  <si>
    <t>INSERT INTO tb_referencias VALUES (1,102,'Logo : El ícono de la estación, es el icono utilizado por los aztecas para representar la ciudad de Tenochtitlán.','Ciudad Azteca, Jeroglifico, ciudad azteca, jeroglifico, tenochtitlan, tenoctitlan, tenochtitlán, Ecatepec, ecatepec.');</t>
  </si>
  <si>
    <t>INSERT INTO tb_referencias VALUES (2,102,'Dirección : Avenida Carlos Hank González. Col. Ciudad Azteca.','avenida carlos hank gonzalez gonzález');</t>
  </si>
  <si>
    <t>INSERT INTO tb_referencias VALUES (6,102,'Salida SurOriente: Esquina Suroriente de Avenida Central y Boulevard de los Remedios.','');</t>
  </si>
  <si>
    <t>INSERT INTO tb_referencias VALUES (7,102,'Curiosidades : Es uno de los 99 fraccionamientos que se encuentran en el municipio de Ecatepec y está conformado por tres secciones, ubicado al noreste, casi al límite con el municipio de Atenco. En esta colonia se encuentra cerca el depósito de evaporación solar "El Caracol", principal fuente de agua en el municipio; es uno de los últimos depósitos de agua del lago de Texcoco.','');</t>
  </si>
  <si>
    <t>INSERT INTO tb_referencias VALUES (8,101,'Logo : El ícono de la estación es un puesto de tianguis en referencia a la plaza del mismo nombre.','');</t>
  </si>
  <si>
    <t>INSERT INTO tb_referencias VALUES (9,101,'Dirección : Avenida Carlos Hank González. Col. Ignacio Allende y Valle de Santiago. Ecatepec, Estado de México.','');</t>
  </si>
  <si>
    <t>INSERT INTO tb_referencias VALUES (10,101,'Salida Norte: Avenida Central e Ignacio Zaragoza Colonia Ignacio Allende.','');</t>
  </si>
  <si>
    <t>INSERT INTO tb_referencias VALUES (11,101,'Salida Sur: Avenida Central y Avenida Cegor Colonia Valle de Santiago.','');</t>
  </si>
  <si>
    <t>INSERT INTO tb_referencias VALUES (12,100,'Logo : El ícono de la estación representa losaros que simbolizan al movimiento olímpico internacional.','');</t>
  </si>
  <si>
    <t>INSERT INTO tb_referencias VALUES (13,100,'Dirección : Avenida Carlos Hank González y Valle de Santiago. Col. Olímpica. Ecatepec, Estado de México.','');</t>
  </si>
  <si>
    <t>INSERT INTO tb_referencias VALUES (14,100,'Salida Norte: Avenida Central y Valle de Santiago Colonia Jardines de Aragón.','');</t>
  </si>
  <si>
    <t>INSERT INTO tb_referencias VALUES (15,100,'Salida Sur: Avenida Central y Grecia Colonia La Olímpica II.','');</t>
  </si>
  <si>
    <t>INSERT INTO tb_referencias VALUES (16,99,'Logo : El ícono de la estación corresponde al glifo prehispánico que identifica al municipio, es decir, la palabra Ecatepec significa "Cerro del Viento", ya que es la cabeza del Dios azteca Ehécatl (Viento) y la parte de abajo es el jeroglífico azteca que representaba a un cerro.','');</t>
  </si>
  <si>
    <t>INSERT INTO tb_referencias VALUES (17,99,'Dirección : Avenida Carlos Hank González. Col. U. H. La Alborada y Valle de Anáhuac sección A. Ecatepec, Estado de México.','');</t>
  </si>
  <si>
    <t>INSERT INTO tb_referencias VALUES (18,99,'Salida Norte: Avenida Central y Calle Ciudad Azteca Colonia U. H. La Alborada.','');</t>
  </si>
  <si>
    <t>INSERT INTO tb_referencias VALUES (19,99,'Salida Sur: Avenida Central y Calle Sor Juana Inés de la Cruz Colonia Valle de Anáhuac sección A.','');</t>
  </si>
  <si>
    <t>INSERT INTO tb_referencias VALUES (20,99,'Curiosidades : El nombre original de la estación fue Tecnológico. El ícono que distinguía a la estación era el emblema del Tecnológico de Estudios Superiores de Ecatepec cuyas instalaciones se encuentran en las proximidades. El 23 de julio de 2008, Francisco Bojórquez Hernández, director del Sistema de Transporte Colectivo-Metro, y José Luis Gutiérrez Cureño, presidente municipal de Ecatepec, establecieron mediante un acuerdo una serie de acciones para mejorar la seguridad, calidad y eficacia del servicio. Como parte del acuerdo se estableció cambiar el nombre e iconografía de la estación a partir del 25 de agosto de 2008.','');</t>
  </si>
  <si>
    <t>INSERT INTO tb_referencias VALUES (21,99,' Universidad Pedagógica Nacional de México: Centro de estudios superiores en Pedagogía.','');</t>
  </si>
  <si>
    <t>INSERT INTO tb_referencias VALUES (22,99,' Tecnológico de Ecatepec: Centro de estudios superiores','');</t>
  </si>
  <si>
    <t>INSERT INTO tb_referencias VALUES (23,98,'Logo : El ícono de la estación es la silueta del presidente Melchor Múzquiz.','');</t>
  </si>
  <si>
    <t>INSERT INTO tb_referencias VALUES (24,98,'Dirección : Avenida Carlos Hank González y Valle del Guadiana. Col. Valle de Aragón 3a. Sección. Ecatepec, Estado de México.','');</t>
  </si>
  <si>
    <t>INSERT INTO tb_referencias VALUES (25,98,'Salida Norte: Avenida Central y Valle del Guadiana.','');</t>
  </si>
  <si>
    <t>INSERT INTO tb_referencias VALUES (26,98,'Salida Nororiente: Avenida Central y Valle del Henares.','');</t>
  </si>
  <si>
    <t>INSERT INTO tb_referencias VALUES (27,98,'Salida Sur: Avenida Central y Valle del Guadiana.','');</t>
  </si>
  <si>
    <t>INSERT INTO tb_referencias VALUES (28,98,'Salida Suroriente: Avenida Central y Valle del Guadiana.','');</t>
  </si>
  <si>
    <t>INSERT INTO tb_referencias VALUES (29,97,'Logo : El ícono de la estación es un velero con una corona.','');</t>
  </si>
  <si>
    <t>INSERT INTO tb_referencias VALUES (30,97,'Dirección : Avenida Carlos Hank González. Col. Valle de Aragón 2a. Sección. Nezahualcóyotl, Estado de México.','');</t>
  </si>
  <si>
    <t>INSERT INTO tb_referencias VALUES (31,97,'Salida Norte: Avenida Central y Anillo Periférico.','');</t>
  </si>
  <si>
    <t>INSERT INTO tb_referencias VALUES (32,97,'Salida Sur: Avenida Central y Boulevard Río de los Remedios.','');</t>
  </si>
  <si>
    <t>INSERT INTO tb_referencias VALUES (33,97,'Curiosidades : Durante la temporada de lluvias, y debido a su cercanía a un canal de aguas negras, cuando hay lluvias fuertes el agua rebasa la barra guía electrificada, por lo que el servicio tiene que ser suspendido.','');</t>
  </si>
  <si>
    <t>INSERT INTO tb_referencias VALUES (34,96,'Logo :  Su ícono es una carreta agrícola y un casco de hacienda al fondo.','');</t>
  </si>
  <si>
    <t>INSERT INTO tb_referencias VALUES (35,96,'Dirección : Avenida Carlos Hank González y Avenida Cinco. Col. La Impulsora. Nezahualcóyotl, Estado de México.','');</t>
  </si>
  <si>
    <t>INSERT INTO tb_referencias VALUES (36,96,'Salida Norte: Avenida Central y Hacienda de Pasteje.','');</t>
  </si>
  <si>
    <t>INSERT INTO tb_referencias VALUES (37,96,'Salida Nororiente: Avenida Central y Hacienda de la Noria.','');</t>
  </si>
  <si>
    <t>INSERT INTO tb_referencias VALUES (38,96,'Salida Sur: Avenida Central y Avenida Cinco Colonia La Impulsora.','');</t>
  </si>
  <si>
    <t>INSERT INTO tb_referencias VALUES (39,96,'Salida Suroriente: Avenida Central y Avenida Cinco Colonia Campestre Guadalupana.','');</t>
  </si>
  <si>
    <t>INSERT INTO tb_referencias VALUES (40,96,' Delegación: Unidad Administrativa Zona Norte (La Bola)','');</t>
  </si>
  <si>
    <t>INSERT INTO tb_referencias VALUES (41,95,'Logo : Su ícono es el glifo de dicho municipio.','');</t>
  </si>
  <si>
    <t>INSERT INTO tb_referencias VALUES (42,95,'Dirección : Avenida Carlos Hank González y Boulevard Bosques de los Continentes. Col. Vergel de Guadalupe. Nezahualcóyotl, Estado de México.','');</t>
  </si>
  <si>
    <t>INSERT INTO tb_referencias VALUES (43,95,'Salida Norte: Avenida Central y Boulevard de los Continentes.','');</t>
  </si>
  <si>
    <t>INSERT INTO tb_referencias VALUES (44,95,'Salida Sororiente: Avenida Central y Boulevard de los Continentes.','');</t>
  </si>
  <si>
    <t>INSERT INTO tb_referencias VALUES (45,95,'Salida Sur: Avenida Central y Avenida Jorge Jiménez Cantú.','');</t>
  </si>
  <si>
    <t>INSERT INTO tb_referencias VALUES (46,95,'Salida Suroriente: Avenida Central y Avenida Jorge Jiménez Cantú.','');</t>
  </si>
  <si>
    <t>INSERT INTO tb_referencias VALUES (47,95,'Curiosidades : Hasta el año 2002, el nombre de la estación fue Continentes y tuvo como ícono un mapamundi de tipo Mollweide; a partir de ese año, la estación es conocida con su nombre y logotipo actuales.','');</t>
  </si>
  <si>
    <t>INSERT INTO tb_referencias VALUES (48,94,'Logo : El icono de la estación es de un conjunto de casas haciendo referencia a la colonia o a una villa.','');</t>
  </si>
  <si>
    <t>INSERT INTO tb_referencias VALUES (49,94,'Dirección : Avenida 608 casi esquina Avenida 412. Col. San Juan de Aragón. Gustavo A. Madero, México DF.','');</t>
  </si>
  <si>
    <t>INSERT INTO tb_referencias VALUES (50,94,'Salida Oriente: Avenida 608, casi esquina Avenida 412.','');</t>
  </si>
  <si>
    <t>INSERT INTO tb_referencias VALUES (51,94,'Salida Poniente: Avenida 412 y 6ª sección de San Juan de Aragón.','');</t>
  </si>
  <si>
    <t>INSERT INTO tb_referencias VALUES (52,94,' Cetis No. 56: Centro de estudios de educación Media Superior','');</t>
  </si>
  <si>
    <t>INSERT INTO tb_referencias VALUES (53,94,' Inst. Tecnológico Gustavo A. Madero: Centro de estudios superiores','');</t>
  </si>
  <si>
    <t>INSERT INTO tb_referencias VALUES (54,93,'Logo : El ícono de la estación está formado por 3 árboles, que hacen referencia al bosque de donde toma su nombre.','');</t>
  </si>
  <si>
    <t>INSERT INTO tb_referencias VALUES (55,93,'Dirección : Avenida 608 casi esquina con Avenida 602.Col. Unidad San Juan de Aragón. Gustavo A. Madero, México DF.','');</t>
  </si>
  <si>
    <t>INSERT INTO tb_referencias VALUES (56,93,'Salida Oriente: Avenida 608 esquina Avenida 613.','');</t>
  </si>
  <si>
    <t>INSERT INTO tb_referencias VALUES (57,93,'Salida Poniente: Avenida 608 junto Bosque de Aragón.','');</t>
  </si>
  <si>
    <t>INSERT INTO tb_referencias VALUES (58,93,' Bosque de Aragón: Parque, deportivo y zoológico','');</t>
  </si>
  <si>
    <t>INSERT INTO tb_referencias VALUES (59,92,'Logo : El ícono de la estación es un koala y un balón, que representan el deportivo y el continente en donde habita el koala.','');</t>
  </si>
  <si>
    <t>INSERT INTO tb_referencias VALUES (60,92,'Dirección : Avenida 608 casi esquina con Avenida 602. Col. San Juan de Aragón. Gustavo A. Madero, México DF.','');</t>
  </si>
  <si>
    <t>INSERT INTO tb_referencias VALUES (61,92,'Salida Oriente: Avenida 608, casi esquina con Avenida 602.','');</t>
  </si>
  <si>
    <t>INSERT INTO tb_referencias VALUES (62,92,'Salida Poniente: Avenida 608 entre Avenida 565 y José Loreto Fabela.','');</t>
  </si>
  <si>
    <t>INSERT INTO tb_referencias VALUES (63,92,' Centro Deportivo Oceanía: Centro deportivo','');</t>
  </si>
  <si>
    <t>INSERT INTO tb_referencias VALUES (64,7,'Logo : El ícono de la estación tiene un canguro, que alude al nombre de la estación (Oceanía), pues es en aquel continente donde existen estos animales.','');</t>
  </si>
  <si>
    <t>INSERT INTO tb_referencias VALUES (65,7,'Dirección : Av. Oceanía. Col. Pensador Mexicano y Romero Rubio. Límite Venustiano Carranza y Gustavo A. Madero., México DF. ','');</t>
  </si>
  <si>
    <t>INSERT INTO tb_referencias VALUES (66,7,'Salida Por línea 5 al Norte: Norte 174, esquina Río Blanco.','');</t>
  </si>
  <si>
    <t>INSERT INTO tb_referencias VALUES (67,7,'Salida Por línea 5 al Suroriente: Avenida Río Consulado.','');</t>
  </si>
  <si>
    <t>INSERT INTO tb_referencias VALUES (68,7,'Salida Por línea B al Norte: Avenida Río Consulado y Norte 170.','');</t>
  </si>
  <si>
    <t>INSERT INTO tb_referencias VALUES (69,7,'Salida Por línea B al Sur: Avenida Oceanía y Dinares, Colonia Aquiles Serdán.','');</t>
  </si>
  <si>
    <t>INSERT INTO tb_referencias VALUES (70,91,'Logo : El ícono de la estación es el busto de Romero Rubio, quien fue un abogado que fue secretario de gobernación en 1884.','');</t>
  </si>
  <si>
    <t>INSERT INTO tb_referencias VALUES (71,91,'Dirección : Av. Oceanía. Col. Moctezuma 2a sección y Romero Rubio. Del. Venustiano Carranza, México DF.','');</t>
  </si>
  <si>
    <t>INSERT INTO tb_referencias VALUES (72,91,'Salida Oriente: Avenida del Peñón y Oriente 158, Colonia Moctezuma.','');</t>
  </si>
  <si>
    <t>INSERT INTO tb_referencias VALUES (73,91,'Salida Poniente: Calle Marruecos Colonia Romero Rubio.','');</t>
  </si>
  <si>
    <t>INSERT INTO tb_referencias VALUES (74,90,'Logo : El ícono de la estación es el busto de Ricardo Flores Magón, periodista anarquista precursor de la Revolución mexicana.','');</t>
  </si>
  <si>
    <t>INSERT INTO tb_referencias VALUES (75,90,'Dirección : Av. Oceanía. Col. Moctezuma 2a sección y Revolución. Venustiano Carranza, México DF.','');</t>
  </si>
  <si>
    <t>INSERT INTO tb_referencias VALUES (76,90,'Salida Norponiente: Avenida Oceanía, Colonia Moctezuma, 2ª sección.','');</t>
  </si>
  <si>
    <t>INSERT INTO tb_referencias VALUES (77,90,'Salida Nororiente: Avenida Oceanía y Norte 24, Colonia Moctezuma 2a. sección.','');</t>
  </si>
  <si>
    <t>INSERT INTO tb_referencias VALUES (78,90,'Salida Surponiente: Avenida Oceanía y General Francisco Murgía Colonia Revolución.','');</t>
  </si>
  <si>
    <t>INSERT INTO tb_referencias VALUES (79,90,'Salida Suroriente: Avenida Oceanía y General Bonifacio Salinas Colonia Revolución.','');</t>
  </si>
  <si>
    <t>INSERT INTO tb_referencias VALUES (80,11,'Logo : El ícono de la estación, representa a una locomotora de vapor ya que en ese lugar se encontraba la antigua terminal de ferrocarriles de San Lázaro.','');</t>
  </si>
  <si>
    <t>INSERT INTO tb_referencias VALUES (81,11,'Dirección : Av. Eduardo Molina y Calzada. Ignacio Zaragoza. Col. 7 de Julio y Col. Doctores (salida sur). Del.  Venustiano Carranza, México DF.  ','');</t>
  </si>
  <si>
    <t>INSERT INTO tb_referencias VALUES (82,11,'Salida Por línea 1 al Surponiente: Avenida Zaragoza y Eje 3 Poniente Colonia 10 de Mayo','');</t>
  </si>
  <si>
    <t>INSERT INTO tb_referencias VALUES (83,11,'Salida Por línea 1 al Suroriente: Salida a Terminal de la Tapo Colonia 10 de Mayo','');</t>
  </si>
  <si>
    <t>INSERT INTO tb_referencias VALUES (84,11,'Salida Por línea B al Norte: Avenida Ing. Eduardo Molina, Colonia 7 de julio.','');</t>
  </si>
  <si>
    <t>INSERT INTO tb_referencias VALUES (85,10,'Logo : El ícono de la estación es la silueta de Jose Maria Morelos y Pavón, héroe de la Independencia de México. Esta estación es la única que tiene dos versiones de su emblema, el propio de la estación y otra versión que muestra el rostro de Morelos en 3/4 de perfil, ambos emblemas están inspirados en el rostro de Morelos que aparecía en las antiguas monedas de 1 pesos de años 80's. La segunda versión se encuentra únicamente en los alrededores de la estación.','');</t>
  </si>
  <si>
    <t>INSERT INTO tb_referencias VALUES (86,10,'Dirección : Av. Congreso de la Unión y Eje 1 Norte. Col. Morelos. Del. Venustiano Carranza, México DF.','');</t>
  </si>
  <si>
    <t>INSERT INTO tb_referencias VALUES (87,10,'Salida Por línea 4 al Oriente: Avenida Congreso de la Unión, esquina Herreros.','');</t>
  </si>
  <si>
    <t>INSERT INTO tb_referencias VALUES (88,10,'Salida Por línea 4 al Poniente: Avenida Congreso de la Unión, esquina Herreros.','');</t>
  </si>
  <si>
    <t>INSERT INTO tb_referencias VALUES (89,10,'Salida Por línea B al Norte: Eje 1 Norte y Hojalatería.','');</t>
  </si>
  <si>
    <t>INSERT INTO tb_referencias VALUES (90,10,'Salida Por línea B al Suroriente: Nacional y Eje 1 Norte.','');</t>
  </si>
  <si>
    <t>INSERT INTO tb_referencias VALUES (91,89,'Logo : El ícono de la estación, es el símbolo icnográfico que en los Juegos Olímpicos de 1968 representó al boxeo, esto en recuerdo de que en el barrio de Tepito han nacido muchos conocidos boxeadores mexicanos, como Rubén Olivares "El Púas", Octavio "El Famoso" Gomez, etc.','');</t>
  </si>
  <si>
    <t>INSERT INTO tb_referencias VALUES (92,89,'Dirección : Eje 1 Norte y Eje 1 Oriente. Col. Morelos. Del Cuauhtémoc, México DF. ','');</t>
  </si>
  <si>
    <t>INSERT INTO tb_referencias VALUES (93,89,'Salida Suroriente: Eje 1 Norte y Eje 1 Oriente.','');</t>
  </si>
  <si>
    <t>INSERT INTO tb_referencias VALUES (94,89,'Salida Suroriente: Eje 1 Norte y Eje 1 Oriente.','');</t>
  </si>
  <si>
    <t>INSERT INTO tb_referencias VALUES (95,89,'Salida Norponiente: Eje 1 Norte y Manuel Doblado.','');</t>
  </si>
  <si>
    <t>INSERT INTO tb_referencias VALUES (96,89,'Salida Surponiente: Eje 1 Norte y Manuel Doblado.','');</t>
  </si>
  <si>
    <t>INSERT INTO tb_referencias VALUES (97,88,'Logo : Su símbolo es un pato o ganso, ya que en el lago anidaban estos tipos de aves antes de la conquista.','');</t>
  </si>
  <si>
    <t>INSERT INTO tb_referencias VALUES (98,88,'Dirección : Eje 1 Norte y Jesús Carranza, Argentina y Brasil. Col. Morelos. Del. Cuauhtémoc, México DF.','');</t>
  </si>
  <si>
    <t>INSERT INTO tb_referencias VALUES (99,88,'Salida Nororiente: Eje 1 Norte, casi esquina con Jesús Carranza Colonia Morelos.','');</t>
  </si>
  <si>
    <t>INSERT INTO tb_referencias VALUES (100,88,'Salida Suroriente: Eje 1 Norte casi esquina con República de Argentina Colonia Centro.','');</t>
  </si>
  <si>
    <t>INSERT INTO tb_referencias VALUES (101,88,'Salida Norponiente: Eje 1 Norte, casi esquina con República de Brasil Colonia Centro.','');</t>
  </si>
  <si>
    <t>INSERT INTO tb_referencias VALUES (102,88,'Salida Surponiente: Eje 1 Norte, casi esquina con República de Brasil Colonia Centro.','');</t>
  </si>
  <si>
    <t>INSERT INTO tb_referencias VALUES (103,9,'Logo : El ícono de la estación está formado por una guitarra y un sarape, que rememora al Mariachi, por lo que es famosa la  Plaza Garibaldi.','');</t>
  </si>
  <si>
    <t>INSERT INTO tb_referencias VALUES (104,9,'Dirección : Paseo de la Reforma, Eje Central Lázaro Cárdenas y Eje 1 Norte. Cuauhtémoc, México DF.','');</t>
  </si>
  <si>
    <t>INSERT INTO tb_referencias VALUES (105,9,'Salida Por línea 8 al Nororiente: Avenida Reforma y Eje 1 Norte Rayón Colonia Guerrero.','');</t>
  </si>
  <si>
    <t>INSERT INTO tb_referencias VALUES (106,9,'Salida Por línea 8 al Suroriente: Avenida Reforma y Rayón Colonia Guerrero.','');</t>
  </si>
  <si>
    <t>INSERT INTO tb_referencias VALUES (107,9,'Salida Por línea 8 al Norponiente: Avenida Reforma y Mosqueta Colonia Centro.','');</t>
  </si>
  <si>
    <t>INSERT INTO tb_referencias VALUES (108,9,'Salida Por línea 8 al Nororiente: Eje Central y Reforma Colonia Morelos.','');</t>
  </si>
  <si>
    <t>INSERT INTO tb_referencias VALUES (109,9,'Salida Por línea B al Norte: Eje 1 Norte Colonia Morelos.','');</t>
  </si>
  <si>
    <t>INSERT INTO tb_referencias VALUES (110,9,'Salida Por línea B al Sur: Eje 1 Norte, calle Allende Sur Colonia Morelos.','');</t>
  </si>
  <si>
    <t>INSERT INTO tb_referencias VALUES (111,8,'Logo : El ícono de la estación es el busto del Gral. Vicente Guerrero, héroe de la Independencia de México y segundo Presidente de la República Mexicana.','');</t>
  </si>
  <si>
    <t>INSERT INTO tb_referencias VALUES (112,8,'Dirección : Av. Guerrero y Eje 1 Norte. Col. Guerrero. Del. Cuauhtémoc, México DF.','');</t>
  </si>
  <si>
    <t>INSERT INTO tb_referencias VALUES (113,8,'Salida Por línea 3 al Oriente: Zarco y Eje 1 Norte.','');</t>
  </si>
  <si>
    <t>INSERT INTO tb_referencias VALUES (114,8,'Salida Por línea 3 al Poniente: Zarzo y Eje 1 Norte.','');</t>
  </si>
  <si>
    <t>INSERT INTO tb_referencias VALUES (115,8,'Salida Por línea B al Nororiente: Eje 1 Norte, casi esquina con Héroes.','');</t>
  </si>
  <si>
    <t>INSERT INTO tb_referencias VALUES (116,8,'Salida Por línea B al Suroriente: Eje 1 Norte, casi esquina con Héroes.','');</t>
  </si>
  <si>
    <t>INSERT INTO tb_referencias VALUES (117,8,'Salida Por línea B al Norponiente: Eje 1 Norte, casi esquina con Guerrero.','');</t>
  </si>
  <si>
    <t>INSERT INTO tb_referencias VALUES (118,8,'Salida Por línea B al Surponiente: Eje 1 Norte, casi esquina con Guerrero.','');</t>
  </si>
  <si>
    <t>INSERT INTO tb_referencias VALUES (119,8,'1     Arte y Cultura Corredor Cultural: Exposiciones de arte y cultura','');</t>
  </si>
  <si>
    <t>INSERT INTO tb_referencias VALUES (120,87,'Logo : El ícono de la estación, es la parte de en frente de una locomotora que hace alusión a la Estación de Ferrocarriles Buenavista que se encuentra en esa zona y que actualmente es la terminal del Tren Suburbano.','');</t>
  </si>
  <si>
    <t>INSERT INTO tb_referencias VALUES (121,87,'Dirección : Avenida de los Insurgentes y Eje 1 Norte. Col. Buenavista. Del Cuauhtémoc, México DF.','');</t>
  </si>
  <si>
    <t>INSERT INTO tb_referencias VALUES (122,87,'Salida Nororiente: Eje 1 Norte, Mosqueta e Insurgentes Colonia Buenavista.','');</t>
  </si>
  <si>
    <t>INSERT INTO tb_referencias VALUES (123,87,'Salida Suroriente: Eje 1 Norte, Mosqueta y Jesús García Colonia Buenavista.','');</t>
  </si>
  <si>
    <t>INSERT INTO tb_referencias VALUES (124,87,'Salida Norponiente: Eje 1 Norte, Mosqueta e Insurgentes Colonia Buenavista.','');</t>
  </si>
  <si>
    <t>INSERT INTO tb_referencias VALUES (125,87,'Salida Surponiente: Eje 1 Norte, Mosqueta e Insurgentes Colonia Buenavista.','');</t>
  </si>
  <si>
    <t>Metrobús Línea 2 (Indios Verdes - El Camino)</t>
  </si>
  <si>
    <t>Logo : El ícono de la estación, representa un domo estilizado de un observatorio astronómico. Como el situado en sus cercanías.</t>
  </si>
  <si>
    <t>Dirección : Calz. Minas de Arena. Y Av. Río de Tacubaya Colonias Acueducto y Real del Monte. Del. Álvaro Obregón, México DF</t>
  </si>
  <si>
    <t>Dirección : Avenida Parque Lira y Avenida Jalisco. Col. Tacubaya. Del. Miguel Hidalgo, México DF.</t>
  </si>
  <si>
    <t xml:space="preserve"> Museo Nacional de Cartografía: Ubicado en Periférico Poniente y Av. Observatorio</t>
  </si>
  <si>
    <t xml:space="preserve"> Alameda Tacubaya: Parque ubicado en la esquina de Viaducto Miguel Alemán y Av. Revolución cruzando el Puente de la Morena</t>
  </si>
  <si>
    <t>Dirección : Gral. Pedro Antonio de los Santos. Col. San Miguel Chapultepec. Del. Miguel Hidalgo, México DF.</t>
  </si>
  <si>
    <t xml:space="preserve">Dirección : Avenida Chapultepec y Circuito Interior Bicentenario. Colinda con las Colonias. Juarez, Roma Norte y Condesa. Y las Delegaciones Miguel Hidalgo y Cuauhtémoc, México DF. </t>
  </si>
  <si>
    <t>Salida Oriente: Paradero Oriente, Calle Tampico y Avenida Chapultepec Colonia Roma Norte (S-2).</t>
  </si>
  <si>
    <t xml:space="preserve"> Altar a la Patria: (Erróneamente conocido como Monumento a los Niños Héroes) Este monumento esta dedicado a los combatientes contra la invasión estadounidense de 1846 a 1847 con la frase: “A los Defensores de la Patria 1846-1847”. Fue diseñado por el arquitecto Enrique Aragón y esculpido por Ernesto Tamariz.</t>
  </si>
  <si>
    <t xml:space="preserve"> Zoológico de Chapultepec: Es el segundo zoológico más grande de México después del de Zoológico de Guadalajara. Localizado en la 1ª Secc. Bosques De Chapultepec.</t>
  </si>
  <si>
    <t>Dirección : Avenida Chapultepec y Londres. Col. Juarez y Roma Norte. Del.  Cuauhtémoc, México DF.</t>
  </si>
  <si>
    <t xml:space="preserve">Dirección : Av. Chapultepec y Abraham González. Col. Juarez y Roma Norte. Del.  Cuauhtémoc, México DF.  </t>
  </si>
  <si>
    <t xml:space="preserve"> Plaza Morelia: Ubicado en Morelia y Calzada. Guaymas</t>
  </si>
  <si>
    <t xml:space="preserve">Dirección : Av. Arcos de Belén y Av. Balderas-Niños Héroes Col. Centro y Doctores. Del. Cuauhtémoc, México DF. </t>
  </si>
  <si>
    <t xml:space="preserve"> Centro Escolar Revolución: Ubicado en la esquina de Niños Héroes y Arcos de Belén</t>
  </si>
  <si>
    <t xml:space="preserve"> Biblioteca de México "José Vasconcelos":  en Balderas entre Emilio Dondé y Tolsa</t>
  </si>
  <si>
    <t>Dirección : Eje Central Lázaro Cárdenas y Av. Arcos de Belén Col. Centro y Doctores. Del. Cuauhtémoc, México DF.</t>
  </si>
  <si>
    <t>Salida Sur: Por línea 8 al Nororiente: Eje Central Lázaro Cárdenas y Plaza de las Vizcaínas Colonia Centro.</t>
  </si>
  <si>
    <t>Dirección : Avenida José María Izazaga y Avenida Isabel la Católica. Col. Centro. Del. Cuauhtémoc, México DF.</t>
  </si>
  <si>
    <t>Logo : El ícono de la estación representa la pirámide de Ehécatl (dios del viento). En la cultura azteca Ehécatl era tan venerado como Tláloc o Quetzalcóatl. La pirámide es descubierta durante las excavaciones para la construcción de la estación Pino Suárez y señala el límite sur de la gran Tenochtitlán.</t>
  </si>
  <si>
    <t>Dirección : Avenida José María Izazaga y Pino Suárez. Col. Centro. Del.  Cuauhtémoc, México DF.</t>
  </si>
  <si>
    <t>Logo : El ícono de la estación está formado por una caja o huacal de manzanas, en representación del Mercado de la Merced; con la que tiene una conexión directa.</t>
  </si>
  <si>
    <t>Dirección : Santa Escuela y Plaza Carrizal. Col. Zona Centro. Del. Venustiano Carranza, México DF.</t>
  </si>
  <si>
    <t>Logo : El ícono de la estación es un pato, debido a la cantidad de patos que se reunían cuando era la ribera del Lago de Texcoco.</t>
  </si>
  <si>
    <t>Dirección : Av. Congreso de la Unión y La Candelaria. Col. Zona Centro y del Parque. Del.  Venustiano Carranza, México DF.</t>
  </si>
  <si>
    <t>Dirección : Av. Eduardo Molina y Calzada. Ignacio Zaragoza. Col. 7 de Julio y Doctores. Del. Venustiano Carranza, México DF.</t>
  </si>
  <si>
    <t>Salida Sur: 1er. Retorno de Ignacio Zaragoza esquina Calzada Ignacio Zaragoza, colonia Jardín Balbuena.</t>
  </si>
  <si>
    <t xml:space="preserve"> Plaza Aviación: Ubicado entre Alfonso Ceballos y Juan Gutiérrez cruzando la Av. Emilio Carranza</t>
  </si>
  <si>
    <t>Dirección : Calzada Ignacio Zaragoza. Col. Moctezuma 1a Sección y Jardín Balbuena. Del. Venustiano Carranza.</t>
  </si>
  <si>
    <t>Dirección : Avenida Boulevard Puerto Aéreo esq. Calzada Ignacio Zaragoza. Col. Aviación Civil, Moctezuma y Valentín Gómez Farías. Del. Venustiano Carranza, México DF.</t>
  </si>
  <si>
    <t>Dirección : Calzada Ignacio Zaragoza. Col. Valentín Gómez Farías. Del. Venustiano Carranza, Mexico DF.</t>
  </si>
  <si>
    <t>Dirección : Calzada Ignacio Zaragoza. Col. 4 árboles y Puebla. Del. Venustiano Carranza, Mexico DF.</t>
  </si>
  <si>
    <t>Salida Norte: Norte: Calzada Ignacio Zaragoza, esquina Enrique Farman Colonia 4 árboles</t>
  </si>
  <si>
    <t xml:space="preserve"> Monumento a Ignacio Zaragoza: También llamado "El Caballito" en la calzada homónima en su cruce con Luis Bleriot y C. A. Lindberg.</t>
  </si>
  <si>
    <t>Dirección : Av. Río Churubusco y Talleres gráficos. Col. Agrícola Pantitlán y Adolfo Lopez Mateos. Del. Venustiano Carranza e Iztacalco, México DF.</t>
  </si>
  <si>
    <t>Amarilla</t>
  </si>
  <si>
    <t>Roja</t>
  </si>
  <si>
    <t>Morada</t>
  </si>
  <si>
    <t>6    Linea 6     Roja</t>
  </si>
  <si>
    <t>6 Roja</t>
  </si>
  <si>
    <t>5 Amarilla</t>
  </si>
  <si>
    <t>A Morada</t>
  </si>
  <si>
    <t>12 Pantitlán</t>
  </si>
  <si>
    <t>145 La Paz</t>
  </si>
  <si>
    <t>5    Linea 5     Amarilla</t>
  </si>
  <si>
    <t>10    Linea A     Morada</t>
  </si>
</sst>
</file>

<file path=xl/styles.xml><?xml version="1.0" encoding="utf-8"?>
<styleSheet xmlns="http://schemas.openxmlformats.org/spreadsheetml/2006/main">
  <fonts count="26">
    <font>
      <sz val="11"/>
      <color theme="1"/>
      <name val="Calibri"/>
      <family val="2"/>
      <scheme val="minor"/>
    </font>
    <font>
      <b/>
      <sz val="11"/>
      <color indexed="8"/>
      <name val="Calibri"/>
      <family val="2"/>
    </font>
    <font>
      <sz val="8"/>
      <name val="Calibri"/>
      <family val="2"/>
    </font>
    <font>
      <b/>
      <sz val="11"/>
      <color theme="1"/>
      <name val="Calibri"/>
      <family val="2"/>
      <scheme val="minor"/>
    </font>
    <font>
      <b/>
      <u/>
      <sz val="11"/>
      <color indexed="8"/>
      <name val="Calibri"/>
      <family val="2"/>
    </font>
    <font>
      <u/>
      <sz val="11"/>
      <color theme="1"/>
      <name val="Calibri"/>
      <family val="2"/>
      <scheme val="minor"/>
    </font>
    <font>
      <b/>
      <sz val="11"/>
      <color rgb="FF000000"/>
      <name val="Calibri"/>
      <family val="2"/>
    </font>
    <font>
      <sz val="11"/>
      <color rgb="FF000000"/>
      <name val="Calibri"/>
      <family val="2"/>
    </font>
    <font>
      <b/>
      <sz val="11"/>
      <color rgb="FFFF0000"/>
      <name val="Calibri"/>
      <family val="2"/>
      <scheme val="minor"/>
    </font>
    <font>
      <u/>
      <sz val="11"/>
      <color theme="10"/>
      <name val="Calibri"/>
      <family val="2"/>
    </font>
    <font>
      <b/>
      <sz val="12"/>
      <name val="Calibri"/>
      <family val="2"/>
      <scheme val="minor"/>
    </font>
    <font>
      <sz val="12"/>
      <name val="Calibri"/>
      <family val="2"/>
      <scheme val="minor"/>
    </font>
    <font>
      <u/>
      <sz val="12"/>
      <name val="Calibri"/>
      <family val="2"/>
      <scheme val="minor"/>
    </font>
    <font>
      <u/>
      <sz val="12"/>
      <color theme="10"/>
      <name val="Calibri"/>
      <family val="2"/>
    </font>
    <font>
      <sz val="12"/>
      <color rgb="FF000000"/>
      <name val="Calibri"/>
      <family val="2"/>
      <scheme val="minor"/>
    </font>
    <font>
      <b/>
      <sz val="14"/>
      <color rgb="FF000000"/>
      <name val="Calibri"/>
      <family val="2"/>
      <scheme val="minor"/>
    </font>
    <font>
      <b/>
      <sz val="16"/>
      <color rgb="FF000000"/>
      <name val="Calibri"/>
      <family val="2"/>
      <scheme val="minor"/>
    </font>
    <font>
      <b/>
      <sz val="18"/>
      <color rgb="FF000000"/>
      <name val="Calibri"/>
      <family val="2"/>
      <scheme val="minor"/>
    </font>
    <font>
      <b/>
      <sz val="12"/>
      <color rgb="FFFF0000"/>
      <name val="Calibri"/>
      <family val="2"/>
      <scheme val="minor"/>
    </font>
    <font>
      <sz val="11"/>
      <name val="Calibri"/>
      <family val="2"/>
      <scheme val="minor"/>
    </font>
    <font>
      <u/>
      <sz val="11"/>
      <name val="Calibri"/>
      <family val="2"/>
    </font>
    <font>
      <sz val="12"/>
      <color theme="1"/>
      <name val="Calibri"/>
      <family val="2"/>
    </font>
    <font>
      <sz val="11"/>
      <color theme="1"/>
      <name val="Calibri"/>
      <family val="2"/>
    </font>
    <font>
      <sz val="12"/>
      <color rgb="FF000000"/>
      <name val="Calibri"/>
      <family val="2"/>
    </font>
    <font>
      <b/>
      <sz val="12"/>
      <color rgb="FFFF0000"/>
      <name val="Calibri"/>
      <family val="2"/>
    </font>
    <font>
      <sz val="12"/>
      <name val="Calibri"/>
      <family val="2"/>
    </font>
  </fonts>
  <fills count="8">
    <fill>
      <patternFill patternType="none"/>
    </fill>
    <fill>
      <patternFill patternType="gray125"/>
    </fill>
    <fill>
      <patternFill patternType="solid">
        <fgColor indexed="8"/>
        <bgColor indexed="64"/>
      </patternFill>
    </fill>
    <fill>
      <patternFill patternType="solid">
        <fgColor rgb="FFCCFFCC"/>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bgColor indexed="64"/>
      </patternFill>
    </fill>
    <fill>
      <patternFill patternType="solid">
        <fgColor rgb="FFD8D8D8"/>
        <bgColor indexed="64"/>
      </patternFill>
    </fill>
  </fills>
  <borders count="33">
    <border>
      <left/>
      <right/>
      <top/>
      <bottom/>
      <diagonal/>
    </border>
    <border>
      <left style="thin">
        <color auto="1"/>
      </left>
      <right/>
      <top/>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bottom style="thin">
        <color auto="1"/>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xf numFmtId="0" fontId="9" fillId="0" borderId="0" applyNumberFormat="0" applyFill="0" applyBorder="0" applyAlignment="0" applyProtection="0">
      <alignment vertical="top"/>
      <protection locked="0"/>
    </xf>
  </cellStyleXfs>
  <cellXfs count="117">
    <xf numFmtId="0" fontId="0" fillId="0" borderId="0" xfId="0"/>
    <xf numFmtId="0" fontId="0" fillId="0" borderId="0" xfId="0" applyAlignment="1">
      <alignment horizontal="center"/>
    </xf>
    <xf numFmtId="0" fontId="1" fillId="0" borderId="0" xfId="0" applyFont="1"/>
    <xf numFmtId="0" fontId="1" fillId="0" borderId="0" xfId="0" applyFont="1" applyAlignment="1">
      <alignment horizontal="center" wrapText="1"/>
    </xf>
    <xf numFmtId="0" fontId="1" fillId="2" borderId="0" xfId="0" applyFont="1" applyFill="1"/>
    <xf numFmtId="0" fontId="1" fillId="2" borderId="0" xfId="0" applyFont="1" applyFill="1" applyAlignment="1">
      <alignment horizontal="center" wrapText="1"/>
    </xf>
    <xf numFmtId="0" fontId="1" fillId="0" borderId="0" xfId="0" applyFont="1" applyAlignment="1">
      <alignment horizontal="center"/>
    </xf>
    <xf numFmtId="0" fontId="1" fillId="2" borderId="0" xfId="0" applyFont="1" applyFill="1" applyAlignment="1">
      <alignment horizontal="center"/>
    </xf>
    <xf numFmtId="0" fontId="0" fillId="0" borderId="0" xfId="0" quotePrefix="1"/>
    <xf numFmtId="0" fontId="3" fillId="0" borderId="0" xfId="0" applyFont="1"/>
    <xf numFmtId="0" fontId="0" fillId="0" borderId="0" xfId="0" applyFont="1"/>
    <xf numFmtId="0" fontId="4" fillId="0" borderId="0" xfId="0" applyFont="1"/>
    <xf numFmtId="0" fontId="0" fillId="0" borderId="0" xfId="0" applyNumberFormat="1"/>
    <xf numFmtId="0" fontId="5" fillId="0" borderId="0" xfId="0" applyFont="1"/>
    <xf numFmtId="0" fontId="6" fillId="0" borderId="0" xfId="0" applyFont="1"/>
    <xf numFmtId="0" fontId="7" fillId="0" borderId="0" xfId="0" applyFont="1"/>
    <xf numFmtId="0" fontId="0" fillId="0" borderId="0" xfId="0" applyFill="1"/>
    <xf numFmtId="0" fontId="0" fillId="0" borderId="0" xfId="0" applyFont="1" applyFill="1"/>
    <xf numFmtId="0" fontId="7" fillId="0" borderId="0" xfId="0" applyFont="1" applyFill="1"/>
    <xf numFmtId="0" fontId="8" fillId="0" borderId="0" xfId="0" applyFont="1"/>
    <xf numFmtId="0" fontId="3" fillId="0" borderId="0" xfId="0" applyNumberFormat="1" applyFont="1"/>
    <xf numFmtId="0" fontId="0" fillId="0" borderId="0" xfId="0" quotePrefix="1" applyNumberFormat="1"/>
    <xf numFmtId="0" fontId="10" fillId="0" borderId="0" xfId="0" applyFont="1" applyFill="1" applyBorder="1" applyAlignment="1">
      <alignment horizontal="left" vertical="center"/>
    </xf>
    <xf numFmtId="0" fontId="11" fillId="4" borderId="2" xfId="0" applyFont="1" applyFill="1" applyBorder="1" applyAlignment="1">
      <alignment horizontal="left" vertical="center"/>
    </xf>
    <xf numFmtId="0" fontId="11" fillId="4" borderId="3" xfId="0" applyFont="1" applyFill="1" applyBorder="1" applyAlignment="1">
      <alignment horizontal="left" vertical="center"/>
    </xf>
    <xf numFmtId="0" fontId="11" fillId="0" borderId="0" xfId="0" applyFont="1" applyFill="1" applyBorder="1" applyAlignment="1">
      <alignment horizontal="left" vertical="center"/>
    </xf>
    <xf numFmtId="0" fontId="11" fillId="5" borderId="3" xfId="0" applyFont="1" applyFill="1" applyBorder="1" applyAlignment="1">
      <alignment horizontal="left" vertical="center"/>
    </xf>
    <xf numFmtId="0" fontId="11" fillId="0" borderId="3" xfId="0" applyFont="1" applyFill="1" applyBorder="1" applyAlignment="1">
      <alignment horizontal="left" vertical="center"/>
    </xf>
    <xf numFmtId="0" fontId="13" fillId="0" borderId="0" xfId="1" applyFont="1" applyAlignment="1" applyProtection="1"/>
    <xf numFmtId="0" fontId="0" fillId="0" borderId="3" xfId="0" applyBorder="1"/>
    <xf numFmtId="0" fontId="14" fillId="0" borderId="3" xfId="0" applyFont="1" applyBorder="1"/>
    <xf numFmtId="14" fontId="0" fillId="0" borderId="0" xfId="0" applyNumberFormat="1"/>
    <xf numFmtId="0" fontId="3" fillId="0" borderId="0" xfId="0" quotePrefix="1" applyFont="1"/>
    <xf numFmtId="0" fontId="10" fillId="0" borderId="5" xfId="0" applyFont="1" applyFill="1" applyBorder="1" applyAlignment="1">
      <alignment horizontal="left" vertical="center"/>
    </xf>
    <xf numFmtId="0" fontId="10" fillId="0" borderId="6" xfId="0" applyFont="1" applyFill="1" applyBorder="1" applyAlignment="1">
      <alignment horizontal="left" vertical="center"/>
    </xf>
    <xf numFmtId="0" fontId="10" fillId="0" borderId="7" xfId="0" applyFont="1" applyFill="1" applyBorder="1" applyAlignment="1">
      <alignment horizontal="left" vertical="center"/>
    </xf>
    <xf numFmtId="0" fontId="0" fillId="0" borderId="3" xfId="0" applyFont="1" applyBorder="1"/>
    <xf numFmtId="0" fontId="11" fillId="4" borderId="9" xfId="0" applyFont="1" applyFill="1" applyBorder="1" applyAlignment="1">
      <alignment horizontal="left" vertical="center"/>
    </xf>
    <xf numFmtId="0" fontId="12" fillId="4" borderId="9" xfId="0" applyFont="1" applyFill="1" applyBorder="1" applyAlignment="1">
      <alignment horizontal="left" vertical="center"/>
    </xf>
    <xf numFmtId="0" fontId="11" fillId="4" borderId="10" xfId="0" applyFont="1" applyFill="1" applyBorder="1" applyAlignment="1">
      <alignment horizontal="left" vertical="center"/>
    </xf>
    <xf numFmtId="0" fontId="11" fillId="0" borderId="2" xfId="0" applyFont="1" applyFill="1" applyBorder="1" applyAlignment="1">
      <alignment horizontal="left" vertical="center"/>
    </xf>
    <xf numFmtId="0" fontId="11" fillId="0" borderId="4" xfId="0" applyFont="1" applyFill="1" applyBorder="1" applyAlignment="1">
      <alignment horizontal="left" vertical="center"/>
    </xf>
    <xf numFmtId="0" fontId="11" fillId="0" borderId="4" xfId="0" applyFont="1" applyFill="1" applyBorder="1" applyAlignment="1">
      <alignment horizontal="left" vertical="center" wrapText="1"/>
    </xf>
    <xf numFmtId="0" fontId="11" fillId="4" borderId="12" xfId="0" applyFont="1" applyFill="1" applyBorder="1" applyAlignment="1">
      <alignment horizontal="left" vertical="center"/>
    </xf>
    <xf numFmtId="0" fontId="11" fillId="4" borderId="13" xfId="0" applyFont="1" applyFill="1" applyBorder="1" applyAlignment="1">
      <alignment horizontal="left" vertical="center"/>
    </xf>
    <xf numFmtId="0" fontId="11" fillId="4" borderId="11" xfId="0" applyFont="1" applyFill="1" applyBorder="1" applyAlignment="1">
      <alignment horizontal="left" vertical="center"/>
    </xf>
    <xf numFmtId="0" fontId="11" fillId="4" borderId="8" xfId="0" applyFont="1" applyFill="1" applyBorder="1" applyAlignment="1">
      <alignment horizontal="left" vertical="center"/>
    </xf>
    <xf numFmtId="0" fontId="11" fillId="6" borderId="3" xfId="0" applyFont="1" applyFill="1" applyBorder="1" applyAlignment="1">
      <alignment horizontal="left" vertical="center"/>
    </xf>
    <xf numFmtId="0" fontId="11" fillId="0" borderId="0" xfId="0" applyFont="1" applyFill="1" applyBorder="1" applyAlignment="1">
      <alignment vertical="center"/>
    </xf>
    <xf numFmtId="0" fontId="11" fillId="0" borderId="16" xfId="0" applyFont="1" applyFill="1" applyBorder="1" applyAlignment="1">
      <alignment horizontal="left" vertical="center"/>
    </xf>
    <xf numFmtId="0" fontId="9" fillId="0" borderId="0" xfId="1" applyAlignment="1" applyProtection="1"/>
    <xf numFmtId="0" fontId="11" fillId="0" borderId="17" xfId="0" applyFont="1" applyFill="1" applyBorder="1" applyAlignment="1">
      <alignment horizontal="left" vertical="center" wrapText="1"/>
    </xf>
    <xf numFmtId="0" fontId="0" fillId="0" borderId="3" xfId="0" applyBorder="1" applyAlignment="1">
      <alignment vertical="center"/>
    </xf>
    <xf numFmtId="0" fontId="11" fillId="4" borderId="15" xfId="0" applyFont="1" applyFill="1" applyBorder="1" applyAlignment="1">
      <alignment horizontal="left" vertical="center"/>
    </xf>
    <xf numFmtId="0" fontId="11" fillId="4" borderId="16" xfId="0" applyFont="1" applyFill="1" applyBorder="1" applyAlignment="1">
      <alignment horizontal="left" vertical="center"/>
    </xf>
    <xf numFmtId="0" fontId="11" fillId="4" borderId="17" xfId="0" applyFont="1" applyFill="1" applyBorder="1" applyAlignment="1">
      <alignment horizontal="left" vertical="center"/>
    </xf>
    <xf numFmtId="0" fontId="11" fillId="4" borderId="19" xfId="0" applyFont="1" applyFill="1" applyBorder="1" applyAlignment="1">
      <alignment horizontal="left" vertical="center"/>
    </xf>
    <xf numFmtId="0" fontId="11" fillId="4" borderId="20" xfId="0" applyFont="1" applyFill="1" applyBorder="1" applyAlignment="1">
      <alignment horizontal="left" vertical="center"/>
    </xf>
    <xf numFmtId="0" fontId="11" fillId="4" borderId="21" xfId="0" applyFont="1" applyFill="1" applyBorder="1" applyAlignment="1">
      <alignment horizontal="left" vertical="center"/>
    </xf>
    <xf numFmtId="0" fontId="11" fillId="0" borderId="8" xfId="0" applyFont="1" applyFill="1" applyBorder="1" applyAlignment="1">
      <alignment horizontal="left" vertical="center"/>
    </xf>
    <xf numFmtId="0" fontId="11" fillId="0" borderId="9" xfId="0" applyFont="1" applyFill="1" applyBorder="1" applyAlignment="1">
      <alignment horizontal="left" vertical="center"/>
    </xf>
    <xf numFmtId="0" fontId="0" fillId="0" borderId="9" xfId="0" applyBorder="1"/>
    <xf numFmtId="0" fontId="11" fillId="5" borderId="9" xfId="0" applyFont="1" applyFill="1" applyBorder="1" applyAlignment="1">
      <alignment horizontal="left" vertical="center"/>
    </xf>
    <xf numFmtId="0" fontId="11" fillId="0" borderId="10" xfId="0" applyFont="1" applyFill="1" applyBorder="1" applyAlignment="1">
      <alignment horizontal="left" vertical="center"/>
    </xf>
    <xf numFmtId="0" fontId="11" fillId="0" borderId="11" xfId="0" applyFont="1" applyFill="1" applyBorder="1" applyAlignment="1">
      <alignment horizontal="left" vertical="center"/>
    </xf>
    <xf numFmtId="0" fontId="11" fillId="0" borderId="12" xfId="0" applyFont="1" applyFill="1" applyBorder="1" applyAlignment="1">
      <alignment horizontal="left" vertical="center"/>
    </xf>
    <xf numFmtId="0" fontId="0" fillId="0" borderId="12" xfId="0" applyBorder="1"/>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0" fontId="8" fillId="0" borderId="3" xfId="0" applyFont="1" applyBorder="1"/>
    <xf numFmtId="0" fontId="18" fillId="0" borderId="16" xfId="0" applyFont="1" applyFill="1" applyBorder="1" applyAlignment="1">
      <alignment horizontal="left" vertical="center"/>
    </xf>
    <xf numFmtId="0" fontId="19" fillId="0" borderId="3" xfId="0" applyFont="1"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0" xfId="0" applyBorder="1"/>
    <xf numFmtId="0" fontId="0" fillId="0" borderId="26" xfId="0" applyBorder="1"/>
    <xf numFmtId="0" fontId="10" fillId="0" borderId="18" xfId="0" applyFont="1" applyFill="1" applyBorder="1" applyAlignment="1">
      <alignment horizontal="left" vertical="center"/>
    </xf>
    <xf numFmtId="0" fontId="11" fillId="0" borderId="3" xfId="0" applyFont="1" applyFill="1" applyBorder="1" applyAlignment="1">
      <alignment horizontal="left" vertical="center" wrapText="1"/>
    </xf>
    <xf numFmtId="0" fontId="19" fillId="0" borderId="0" xfId="0" applyFont="1"/>
    <xf numFmtId="0" fontId="20" fillId="0" borderId="0" xfId="1" applyFont="1" applyAlignment="1" applyProtection="1"/>
    <xf numFmtId="0" fontId="19" fillId="0" borderId="3" xfId="0" applyFont="1" applyBorder="1" applyAlignment="1">
      <alignment vertical="center"/>
    </xf>
    <xf numFmtId="0" fontId="0" fillId="0" borderId="23" xfId="0" applyBorder="1" applyAlignment="1">
      <alignment wrapText="1"/>
    </xf>
    <xf numFmtId="0" fontId="0" fillId="0" borderId="0" xfId="0" applyAlignment="1">
      <alignment wrapText="1"/>
    </xf>
    <xf numFmtId="0" fontId="19" fillId="0" borderId="3" xfId="0" applyFont="1" applyBorder="1" applyAlignment="1">
      <alignment horizontal="left" vertical="center"/>
    </xf>
    <xf numFmtId="0" fontId="19" fillId="0" borderId="3" xfId="0" applyFont="1" applyFill="1" applyBorder="1"/>
    <xf numFmtId="0" fontId="21" fillId="0" borderId="18" xfId="0" applyFont="1" applyBorder="1"/>
    <xf numFmtId="0" fontId="21" fillId="0" borderId="30" xfId="0" applyFont="1" applyBorder="1"/>
    <xf numFmtId="0" fontId="21" fillId="0" borderId="30" xfId="0" applyFont="1" applyBorder="1" applyAlignment="1">
      <alignment wrapText="1"/>
    </xf>
    <xf numFmtId="0" fontId="21" fillId="0" borderId="31" xfId="0" applyFont="1" applyBorder="1" applyAlignment="1">
      <alignment wrapText="1"/>
    </xf>
    <xf numFmtId="0" fontId="21" fillId="7" borderId="32" xfId="0" applyFont="1" applyFill="1" applyBorder="1"/>
    <xf numFmtId="0" fontId="7" fillId="0" borderId="30" xfId="0" applyFont="1" applyBorder="1"/>
    <xf numFmtId="0" fontId="22" fillId="0" borderId="30" xfId="0" applyFont="1" applyBorder="1"/>
    <xf numFmtId="0" fontId="21" fillId="7" borderId="30" xfId="0" applyFont="1" applyFill="1" applyBorder="1"/>
    <xf numFmtId="0" fontId="21" fillId="0" borderId="32" xfId="0" applyFont="1" applyBorder="1" applyAlignment="1">
      <alignment wrapText="1"/>
    </xf>
    <xf numFmtId="0" fontId="21" fillId="7" borderId="18" xfId="0" applyFont="1" applyFill="1" applyBorder="1"/>
    <xf numFmtId="0" fontId="23" fillId="0" borderId="30" xfId="0" applyFont="1" applyBorder="1" applyAlignment="1">
      <alignment wrapText="1"/>
    </xf>
    <xf numFmtId="0" fontId="21" fillId="0" borderId="18" xfId="0" applyFont="1" applyBorder="1" applyAlignment="1">
      <alignment wrapText="1"/>
    </xf>
    <xf numFmtId="0" fontId="24" fillId="0" borderId="30" xfId="0" applyFont="1" applyBorder="1" applyAlignment="1">
      <alignment wrapText="1"/>
    </xf>
    <xf numFmtId="0" fontId="22" fillId="0" borderId="0" xfId="0" applyFont="1"/>
    <xf numFmtId="0" fontId="21" fillId="0" borderId="31" xfId="0" applyFont="1" applyBorder="1"/>
    <xf numFmtId="0" fontId="24" fillId="0" borderId="30" xfId="0" applyFont="1" applyBorder="1"/>
    <xf numFmtId="0" fontId="21" fillId="0" borderId="32" xfId="0" applyFont="1" applyBorder="1"/>
    <xf numFmtId="0" fontId="25" fillId="0" borderId="30" xfId="0" applyFont="1" applyBorder="1" applyAlignment="1">
      <alignment wrapText="1"/>
    </xf>
    <xf numFmtId="0" fontId="25" fillId="0" borderId="30" xfId="0" applyFont="1" applyBorder="1"/>
    <xf numFmtId="0" fontId="11" fillId="0" borderId="3" xfId="0" applyFont="1" applyBorder="1"/>
    <xf numFmtId="0" fontId="25" fillId="7" borderId="30" xfId="0" applyFont="1" applyFill="1" applyBorder="1"/>
    <xf numFmtId="0" fontId="25" fillId="0" borderId="32" xfId="0" applyFont="1" applyBorder="1" applyAlignment="1">
      <alignment wrapText="1"/>
    </xf>
    <xf numFmtId="0" fontId="0" fillId="3" borderId="1" xfId="0" applyFill="1" applyBorder="1" applyAlignment="1">
      <alignment horizontal="left"/>
    </xf>
    <xf numFmtId="0" fontId="0" fillId="3" borderId="0" xfId="0" applyFill="1" applyBorder="1" applyAlignment="1">
      <alignment horizontal="left"/>
    </xf>
    <xf numFmtId="0" fontId="3" fillId="0" borderId="27" xfId="0" applyFont="1" applyBorder="1" applyAlignment="1">
      <alignment horizontal="center"/>
    </xf>
    <xf numFmtId="0" fontId="3" fillId="0" borderId="28" xfId="0" applyFont="1" applyBorder="1" applyAlignment="1">
      <alignment horizontal="center"/>
    </xf>
    <xf numFmtId="0" fontId="3" fillId="0" borderId="29" xfId="0" applyFont="1" applyBorder="1" applyAlignment="1">
      <alignment horizontal="center"/>
    </xf>
    <xf numFmtId="0" fontId="3" fillId="0" borderId="14" xfId="0" applyFont="1" applyBorder="1" applyAlignment="1">
      <alignment horizontal="center"/>
    </xf>
    <xf numFmtId="0" fontId="3" fillId="0" borderId="0" xfId="0" applyFont="1" applyAlignment="1">
      <alignment horizontal="center"/>
    </xf>
    <xf numFmtId="0" fontId="25" fillId="0" borderId="32" xfId="0" applyFont="1" applyBorder="1"/>
  </cellXfs>
  <cellStyles count="2">
    <cellStyle name="Hipervínculo"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8" Type="http://schemas.openxmlformats.org/officeDocument/2006/relationships/hyperlink" Target="http://toolserver.org/~geohack/geohack.php?pagename=Balderas_(estaci%C3%B3n)&amp;language=es&amp;params=19.42744_N_99.149036_W_region:MX_type:railwaystation" TargetMode="External"/><Relationship Id="rId13" Type="http://schemas.openxmlformats.org/officeDocument/2006/relationships/hyperlink" Target="http://toolserver.org/~geohack/geohack.php?pagename=Candelaria_(estaci%C3%B3n_Metro_de_Ciudad_de_M%C3%A9xico)&amp;language=es&amp;params=19.428837_N_99.119511_W_region:MX_type:railwaystation" TargetMode="External"/><Relationship Id="rId18" Type="http://schemas.openxmlformats.org/officeDocument/2006/relationships/hyperlink" Target="http://toolserver.org/~geohack/geohack.php?pagename=G%C3%B3mez_Far%C3%ADas_(estaci%C3%B3n)&amp;language=es&amp;params=19.416472_N_99.09035_W_region:MX_type:railwaystation" TargetMode="External"/><Relationship Id="rId3" Type="http://schemas.openxmlformats.org/officeDocument/2006/relationships/hyperlink" Target="http://toolserver.org/~geohack/geohack.php?pagename=Juanacatl%C3%A1n_(estaci%C3%B3n)&amp;language=es&amp;params=19.41289_N_99.182167_W_region:MX_type:railwaystation" TargetMode="External"/><Relationship Id="rId21" Type="http://schemas.openxmlformats.org/officeDocument/2006/relationships/vmlDrawing" Target="../drawings/vmlDrawing9.vml"/><Relationship Id="rId7" Type="http://schemas.openxmlformats.org/officeDocument/2006/relationships/hyperlink" Target="http://toolserver.org/~geohack/geohack.php?pagename=Cuauht%C3%A9moc_(estaci%C3%B3n)&amp;language=es&amp;params=19.425862_N_99.154701_W_region:MX_type:railwaystation" TargetMode="External"/><Relationship Id="rId12" Type="http://schemas.openxmlformats.org/officeDocument/2006/relationships/hyperlink" Target="http://toolserver.org/~geohack/geohack.php?pagename=Merced_(estaci%C3%B3n)&amp;language=es&amp;params=19.425558_N_99.124639_W_region:MX_type:railwaystation" TargetMode="External"/><Relationship Id="rId17" Type="http://schemas.openxmlformats.org/officeDocument/2006/relationships/hyperlink" Target="http://toolserver.org/~geohack/geohack.php?pagename=Boulevard_Puerto_A%C3%A9reo_(estaci%C3%B3n)&amp;language=es&amp;params=19.41967_N_99.09595_W_region:MX_type:railwaystation" TargetMode="External"/><Relationship Id="rId2" Type="http://schemas.openxmlformats.org/officeDocument/2006/relationships/hyperlink" Target="http://toolserver.org/~geohack/geohack.php?pagename=Tacubaya_(estaci%C3%B3n)&amp;language=es&amp;params=19.403439_N_99.187102_W_region:MX_type:railwaystation" TargetMode="External"/><Relationship Id="rId16" Type="http://schemas.openxmlformats.org/officeDocument/2006/relationships/hyperlink" Target="http://toolserver.org/~geohack/geohack.php?pagename=Balbuena_(estaci%C3%B3n)&amp;language=es&amp;params=19.423231_N_99.102302_W_region:MX_type:railwaystation" TargetMode="External"/><Relationship Id="rId20" Type="http://schemas.openxmlformats.org/officeDocument/2006/relationships/hyperlink" Target="http://toolserver.org/~geohack/geohack.php?pagename=Pantitl%C3%A1n_(estaci%C3%B3n)&amp;language=es&amp;params=19.415359_N_99.072132_W_region:MX_type:landmark_scale:5000" TargetMode="External"/><Relationship Id="rId1" Type="http://schemas.openxmlformats.org/officeDocument/2006/relationships/hyperlink" Target="http://toolserver.org/~geohack/geohack.php?pagename=Observatorio_(estaci%C3%B3n)&amp;language=es&amp;params=19.398237_N_99.200363_W_" TargetMode="External"/><Relationship Id="rId6" Type="http://schemas.openxmlformats.org/officeDocument/2006/relationships/hyperlink" Target="http://toolserver.org/~geohack/geohack.php?pagename=Insurgentes_(estaci%C3%B3n)&amp;language=es&amp;params=19.423292_N_99.163177_W_region:MX_type:railwaystation" TargetMode="External"/><Relationship Id="rId11" Type="http://schemas.openxmlformats.org/officeDocument/2006/relationships/hyperlink" Target="http://toolserver.org/~geohack/geohack.php?pagename=Pino_Su%C3%A1rez_(estaci%C3%B3n)&amp;language=es&amp;params=19.425336_N_99.132943_W_region:MX_type:railwaystation" TargetMode="External"/><Relationship Id="rId5" Type="http://schemas.openxmlformats.org/officeDocument/2006/relationships/hyperlink" Target="http://toolserver.org/~geohack/geohack.php?pagename=Sevilla_(estaci%C3%B3n_Metro_de_Ciudad_de_M%C3%A9xico)&amp;language=es&amp;params=19.421916_N_99.17058_W_region:MX_type:railwaystation" TargetMode="External"/><Relationship Id="rId15" Type="http://schemas.openxmlformats.org/officeDocument/2006/relationships/hyperlink" Target="http://toolserver.org/~geohack/geohack.php?pagename=Moctezuma_(estaci%C3%B3n)&amp;language=es&amp;params=19.427218_N_99.110305_W_region:MX_type:railwaystation" TargetMode="External"/><Relationship Id="rId23" Type="http://schemas.openxmlformats.org/officeDocument/2006/relationships/ctrlProp" Target="../ctrlProps/ctrlProp9.xml"/><Relationship Id="rId10" Type="http://schemas.openxmlformats.org/officeDocument/2006/relationships/hyperlink" Target="http://toolserver.org/~geohack/geohack.php?pagename=Isabel_la_Cat%C3%B3lica_(estaci%C3%B3n)&amp;language=es&amp;params=19.426732_N_99.137685_W_region:MX_type:railwaystation" TargetMode="External"/><Relationship Id="rId19" Type="http://schemas.openxmlformats.org/officeDocument/2006/relationships/hyperlink" Target="http://toolserver.org/~geohack/geohack.php?pagename=Zaragoza_(estaci%C3%B3n)&amp;language=es&amp;params=19.412344_N_99.08241_W_region:MX_type:railwaystation" TargetMode="External"/><Relationship Id="rId4" Type="http://schemas.openxmlformats.org/officeDocument/2006/relationships/hyperlink" Target="http://toolserver.org/~geohack/geohack.php?pagename=Chapultepec_(estaci%C3%B3n)&amp;language=es&amp;params=19.420830_N_99.176943_W_region:MX_type:railwaystation" TargetMode="External"/><Relationship Id="rId9" Type="http://schemas.openxmlformats.org/officeDocument/2006/relationships/hyperlink" Target="http://toolserver.org/~geohack/geohack.php?pagename=Salto_del_Agua_(estaci%C3%B3n)&amp;language=es&amp;params=19.426813_N_99.142213_W_region:MX_type:railwaystation" TargetMode="External"/><Relationship Id="rId14" Type="http://schemas.openxmlformats.org/officeDocument/2006/relationships/hyperlink" Target="http://toolserver.org/~geohack/geohack.php?pagename=San_L%C3%A1zaro_(estaci%C3%B3n)&amp;language=es&amp;params=19.430213_N_99.114833_W_region:MX_type:railwaystation"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toolserver.org/~geohack/geohack.php?pagename=Normal_(estaci%C3%B3n)&amp;language=es&amp;params=19.4444_N_99.1674_W_" TargetMode="External"/><Relationship Id="rId13" Type="http://schemas.openxmlformats.org/officeDocument/2006/relationships/hyperlink" Target="http://toolserver.org/~geohack/geohack.php?pagename=Z%C3%B3calo_(estaci%C3%B3n)&amp;language=es&amp;params=19.433248_N_99.1329_W_" TargetMode="External"/><Relationship Id="rId18" Type="http://schemas.openxmlformats.org/officeDocument/2006/relationships/hyperlink" Target="http://toolserver.org/~geohack/geohack.php?pagename=Xola_(estaci%C3%B3n)&amp;language=es&amp;params=19.3952_N_99.1377_W_" TargetMode="External"/><Relationship Id="rId3" Type="http://schemas.openxmlformats.org/officeDocument/2006/relationships/hyperlink" Target="http://toolserver.org/~geohack/geohack.php?pagename=Tacuba_(estaci%C3%B3n)&amp;language=es&amp;params=19.459349_N_99.189205_W_" TargetMode="External"/><Relationship Id="rId21" Type="http://schemas.openxmlformats.org/officeDocument/2006/relationships/hyperlink" Target="http://toolserver.org/~geohack/geohack.php?pagename=Portales_(estaci%C3%B3n_Metro_de_Ciudad_de_M%C3%A9xico)&amp;language=es&amp;params=19.3698_N_99.1416_W_" TargetMode="External"/><Relationship Id="rId7" Type="http://schemas.openxmlformats.org/officeDocument/2006/relationships/hyperlink" Target="http://toolserver.org/~geohack/geohack.php?pagename=San_Cosme_(estaci%C3%B3n)&amp;language=es&amp;params=19.441706_N_99.161096_W_" TargetMode="External"/><Relationship Id="rId12" Type="http://schemas.openxmlformats.org/officeDocument/2006/relationships/hyperlink" Target="http://toolserver.org/~geohack/geohack.php?pagename=Allende_(estaci%C3%B3n)&amp;language=es&amp;params=19.435514_N_99.137406_W_" TargetMode="External"/><Relationship Id="rId17" Type="http://schemas.openxmlformats.org/officeDocument/2006/relationships/hyperlink" Target="http://toolserver.org/~geohack/geohack.php?pagename=Viaducto_(estaci%C3%B3n)&amp;language=es&amp;params=19.400808_N_99.136891_W_" TargetMode="External"/><Relationship Id="rId25" Type="http://schemas.openxmlformats.org/officeDocument/2006/relationships/vmlDrawing" Target="../drawings/vmlDrawing10.vml"/><Relationship Id="rId2" Type="http://schemas.openxmlformats.org/officeDocument/2006/relationships/hyperlink" Target="http://toolserver.org/~geohack/geohack.php?pagename=Panteones_(estaci%C3%B3n)&amp;language=es&amp;params=19.458763_N_99.203153_W_" TargetMode="External"/><Relationship Id="rId16" Type="http://schemas.openxmlformats.org/officeDocument/2006/relationships/hyperlink" Target="http://toolserver.org/~geohack/geohack.php?pagename=Chabacano_(estaci%C3%B3n)&amp;language=es&amp;params=19.406438_N_99.135754_W_region:MX_type:railwaystation" TargetMode="External"/><Relationship Id="rId20" Type="http://schemas.openxmlformats.org/officeDocument/2006/relationships/hyperlink" Target="http://toolserver.org/~geohack/geohack.php?pagename=Nativitas_(estaci%C3%B3n)&amp;language=es&amp;params=19.379474_N_99.140217_W_" TargetMode="External"/><Relationship Id="rId1" Type="http://schemas.openxmlformats.org/officeDocument/2006/relationships/hyperlink" Target="http://toolserver.org/~geohack/geohack.php?pagename=Cuatro_Caminos_(estaci%C3%B3n_Metro_de_Ciudad_de_M%C3%A9xico)&amp;language=es&amp;params=19.459592_N_99.215899_W_" TargetMode="External"/><Relationship Id="rId6" Type="http://schemas.openxmlformats.org/officeDocument/2006/relationships/hyperlink" Target="http://toolserver.org/~geohack/geohack.php?pagename=Colegio_Militar_(estaci%C3%B3n)&amp;language=es&amp;params=19.449354_N_99.172254_W_" TargetMode="External"/><Relationship Id="rId11" Type="http://schemas.openxmlformats.org/officeDocument/2006/relationships/hyperlink" Target="http://toolserver.org/~geohack/geohack.php?pagename=Bellas_Artes_(estaci%C3%B3n_Metro_de_Ciudad_de_M%C3%A9xico)&amp;language=es&amp;params=19.436243_N_99.141945_W_region:MX_type:railwaystation" TargetMode="External"/><Relationship Id="rId24" Type="http://schemas.openxmlformats.org/officeDocument/2006/relationships/hyperlink" Target="http://toolserver.org/~geohack/geohack.php?pagename=Tasque%C3%B1a_(estaci%C3%B3n)&amp;language=es&amp;params=19.344168_N_99.142685_W_" TargetMode="External"/><Relationship Id="rId5" Type="http://schemas.openxmlformats.org/officeDocument/2006/relationships/hyperlink" Target="http://toolserver.org/~geohack/geohack.php?pagename=Popotla_(estaci%C3%B3n)&amp;language=es&amp;params=19.452147_N_99.1747_W_" TargetMode="External"/><Relationship Id="rId15" Type="http://schemas.openxmlformats.org/officeDocument/2006/relationships/hyperlink" Target="http://toolserver.org/~geohack/geohack.php?pagename=San_Antonio_Abad_(estaci%C3%B3n)&amp;language=es&amp;params=19.418597_N_99.134145_W_" TargetMode="External"/><Relationship Id="rId23" Type="http://schemas.openxmlformats.org/officeDocument/2006/relationships/hyperlink" Target="http://toolserver.org/~geohack/geohack.php?pagename=General_Anaya_(estaci%C3%B3n)&amp;language=es&amp;params=19.353259_N_99.145002_W_" TargetMode="External"/><Relationship Id="rId10" Type="http://schemas.openxmlformats.org/officeDocument/2006/relationships/hyperlink" Target="http://toolserver.org/~geohack/geohack.php?pagename=Hidalgo_(estaci%C3%B3n)&amp;language=es&amp;params=19.437295_N_99.147105_W_region:MX_type:railwaystation" TargetMode="External"/><Relationship Id="rId19" Type="http://schemas.openxmlformats.org/officeDocument/2006/relationships/hyperlink" Target="http://toolserver.org/~geohack/geohack.php?pagename=Villa_de_Cort%C3%A9s_(estaci%C3%B3n)&amp;language=es&amp;params=19.38753_N_99.138994_W_" TargetMode="External"/><Relationship Id="rId4" Type="http://schemas.openxmlformats.org/officeDocument/2006/relationships/hyperlink" Target="http://toolserver.org/~geohack/geohack.php?pagename=Cuitl%C3%A1huac_(estaci%C3%B3n)&amp;language=es&amp;params=19.457448_N_99.182038_W_" TargetMode="External"/><Relationship Id="rId9" Type="http://schemas.openxmlformats.org/officeDocument/2006/relationships/hyperlink" Target="http://toolserver.org/~geohack/geohack.php?pagename=Revoluci%C3%B3n_(estaci%C3%B3n)&amp;language=es&amp;params=19.441706_N_99.161096_W_" TargetMode="External"/><Relationship Id="rId14" Type="http://schemas.openxmlformats.org/officeDocument/2006/relationships/hyperlink" Target="http://toolserver.org/~geohack/geohack.php?pagename=Pino_Su%C3%A1rez_(estaci%C3%B3n)&amp;language=es&amp;params=19.425336_N_99.132943_W_region:MX_type:railwaystation" TargetMode="External"/><Relationship Id="rId22" Type="http://schemas.openxmlformats.org/officeDocument/2006/relationships/hyperlink" Target="http://toolserver.org/~geohack/geohack.php?pagename=Ermita_(estaci%C3%B3n)&amp;language=es&amp;params=19.361883_N_99.142942_W_region:MX_type:railwaystation" TargetMode="External"/><Relationship Id="rId27"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8" Type="http://schemas.openxmlformats.org/officeDocument/2006/relationships/hyperlink" Target="http://toolserver.org/~geohack/geohack.php?pagename=Hospital_General_(estaci%C3%B3n)&amp;language=es&amp;params=19.413578_N_99.153886_W_" TargetMode="External"/><Relationship Id="rId13" Type="http://schemas.openxmlformats.org/officeDocument/2006/relationships/hyperlink" Target="http://toolserver.org/~geohack/geohack.php?pagename=Coyoac%C3%A1n_(estaci%C3%B3n)&amp;language=es&amp;params=19.361417_N_99.170709_W_" TargetMode="External"/><Relationship Id="rId18" Type="http://schemas.openxmlformats.org/officeDocument/2006/relationships/vmlDrawing" Target="../drawings/vmlDrawing11.vml"/><Relationship Id="rId3" Type="http://schemas.openxmlformats.org/officeDocument/2006/relationships/hyperlink" Target="http://toolserver.org/~geohack/geohack.php?pagename=La_Raza_(estaci%C3%B3n)&amp;language=es&amp;params=19.470153_N_99.136891_W_region:MX_type:railwaystation" TargetMode="External"/><Relationship Id="rId7" Type="http://schemas.openxmlformats.org/officeDocument/2006/relationships/hyperlink" Target="http://toolserver.org/~geohack/geohack.php?pagename=Ni%C3%B1os_H%C3%A9roes_(estaci%C3%B3n)&amp;language=es&amp;params=19.419508_N_99.150581_W_" TargetMode="External"/><Relationship Id="rId12" Type="http://schemas.openxmlformats.org/officeDocument/2006/relationships/hyperlink" Target="http://toolserver.org/~geohack/geohack.php?pagename=Zapata_(estaci%C3%B3n)&amp;language=es&amp;params=19.370952_N_99.164937_W_region:MX_type:railwaystation" TargetMode="External"/><Relationship Id="rId17" Type="http://schemas.openxmlformats.org/officeDocument/2006/relationships/hyperlink" Target="http://toolserver.org/~geohack/geohack.php?pagename=Universidad_(estaci%C3%B3n_Metro_de_Ciudad_de_M%C3%A9xico)&amp;language=es&amp;params=19.324427_N_99.17397_W_" TargetMode="External"/><Relationship Id="rId2" Type="http://schemas.openxmlformats.org/officeDocument/2006/relationships/hyperlink" Target="http://toolserver.org/~geohack/geohack.php?pagename=Potrero_(estaci%C3%B3n)&amp;language=es&amp;params=19.47691_N_99.132171_W_" TargetMode="External"/><Relationship Id="rId16" Type="http://schemas.openxmlformats.org/officeDocument/2006/relationships/hyperlink" Target="http://toolserver.org/~geohack/geohack.php?pagename=Copilco_(estaci%C3%B3n)&amp;language=es&amp;params=19.335887_N_99.176652_W_" TargetMode="External"/><Relationship Id="rId20" Type="http://schemas.openxmlformats.org/officeDocument/2006/relationships/ctrlProp" Target="../ctrlProps/ctrlProp11.xml"/><Relationship Id="rId1" Type="http://schemas.openxmlformats.org/officeDocument/2006/relationships/hyperlink" Target="http://toolserver.org/~geohack/geohack.php?pagename=Deportivo_18_de_marzo_(estaci%C3%B3n)&amp;language=es&amp;params=19.483747_N_99.126549_W_region:MX_type:railwaystation" TargetMode="External"/><Relationship Id="rId6" Type="http://schemas.openxmlformats.org/officeDocument/2006/relationships/hyperlink" Target="http://toolserver.org/~geohack/geohack.php?pagename=Ju%C3%A1rez_(estaci%C3%B3n)&amp;language=es&amp;params=19.433167_N_99.147792_W_" TargetMode="External"/><Relationship Id="rId11" Type="http://schemas.openxmlformats.org/officeDocument/2006/relationships/hyperlink" Target="http://toolserver.org/~geohack/geohack.php?pagename=Divisi%C3%B3n_del_Norte_(estaci%C3%B3n)&amp;language=es&amp;params=19.380021_N_99.158885_W_" TargetMode="External"/><Relationship Id="rId5" Type="http://schemas.openxmlformats.org/officeDocument/2006/relationships/hyperlink" Target="http://toolserver.org/~geohack/geohack.php?pagename=Guerrero_(estaci%C3%B3n)&amp;language=es&amp;params=19.445146_N_99.145389_W_region:MX_type:railwaystation" TargetMode="External"/><Relationship Id="rId15" Type="http://schemas.openxmlformats.org/officeDocument/2006/relationships/hyperlink" Target="http://toolserver.org/~geohack/geohack.php?pagename=Miguel_%C3%81ngel_de_Quevedo_(estaci%C3%B3n)&amp;language=es&amp;params=19.346395_N_99.18103_W_" TargetMode="External"/><Relationship Id="rId10" Type="http://schemas.openxmlformats.org/officeDocument/2006/relationships/hyperlink" Target="http://toolserver.org/~geohack/geohack.php?pagename=Etiop%C3%ADa-Plaza_de_la_transparencia_(estaci%C3%B3n)&amp;language=es&amp;params=19.395586_N_99.156268_W_" TargetMode="External"/><Relationship Id="rId4" Type="http://schemas.openxmlformats.org/officeDocument/2006/relationships/hyperlink" Target="http://toolserver.org/~geohack/geohack.php?pagename=Tlatelolco_(estaci%C3%B3n)&amp;language=es&amp;params=19.454979_N_99.142814_W_" TargetMode="External"/><Relationship Id="rId9" Type="http://schemas.openxmlformats.org/officeDocument/2006/relationships/hyperlink" Target="http://toolserver.org/~geohack/geohack.php?pagename=Centro_M%C3%A9dico_(estaci%C3%B3n)&amp;language=es&amp;params=19.406637_N_99.155753_W_region:MX_type:railwaystation" TargetMode="External"/><Relationship Id="rId14" Type="http://schemas.openxmlformats.org/officeDocument/2006/relationships/hyperlink" Target="http://toolserver.org/~geohack/geohack.php?pagename=Viveros-Derechos_humanos_(estaci%C3%B3n)&amp;language=es&amp;params=19.353724_N_99.176052_W_"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toolserver.org/~geohack/geohack.php?pagename=Santa_Anita_(estaci%C3%B3n)&amp;language=es&amp;params=19.40273_N_99.121699_W_region:MX_type:railwaystation" TargetMode="External"/><Relationship Id="rId3" Type="http://schemas.openxmlformats.org/officeDocument/2006/relationships/hyperlink" Target="http://toolserver.org/~geohack/geohack.php?pagename=Bondojito_(estaci%C3%B3n)&amp;language=es&amp;params=19.46461_N_99.111958_W_region:MX_type:railwaystation" TargetMode="External"/><Relationship Id="rId7" Type="http://schemas.openxmlformats.org/officeDocument/2006/relationships/hyperlink" Target="http://toolserver.org/~geohack/geohack.php?pagename=Jamaica_(estaci%C3%B3n_Metro_de_Ciudad_de_M%C3%A9xico)&amp;language=es&amp;params=19.409004_N_99.122171_W_region:MX_type:railwaystation" TargetMode="External"/><Relationship Id="rId2" Type="http://schemas.openxmlformats.org/officeDocument/2006/relationships/hyperlink" Target="http://toolserver.org/~geohack/geohack.php?pagename=Talism%C3%A1n_(estaci%C3%B3n)&amp;language=es&amp;params=19.47428_N_99.108009_W_region:MX_type:railwaystation" TargetMode="External"/><Relationship Id="rId1" Type="http://schemas.openxmlformats.org/officeDocument/2006/relationships/hyperlink" Target="http://toolserver.org/~geohack/geohack.php?pagename=Mart%C3%ADn_Carrera_(estaci%C3%B3n)&amp;language=es&amp;params=19.484921_N_99.104404_W_region:MX_type:railwaystation" TargetMode="External"/><Relationship Id="rId6" Type="http://schemas.openxmlformats.org/officeDocument/2006/relationships/hyperlink" Target="http://toolserver.org/~geohack/geohack.php?pagename=Fray_Servando_(estaci%C3%B3n)&amp;language=es&amp;params=19.421633_N_99.120541_W_region:MX_type:railwaystation" TargetMode="External"/><Relationship Id="rId11" Type="http://schemas.openxmlformats.org/officeDocument/2006/relationships/ctrlProp" Target="../ctrlProps/ctrlProp12.xml"/><Relationship Id="rId5" Type="http://schemas.openxmlformats.org/officeDocument/2006/relationships/hyperlink" Target="http://toolserver.org/~geohack/geohack.php?pagename=Canal_del_Norte_(estaci%C3%B3n)&amp;language=es&amp;params=19.449112_N_99.116507_W_region:MX_type:railwaystation" TargetMode="External"/><Relationship Id="rId4" Type="http://schemas.openxmlformats.org/officeDocument/2006/relationships/hyperlink" Target="http://toolserver.org/~geohack/geohack.php?pagename=Consulado_(estaci%C3%B3n)&amp;language=es&amp;params=19.457893_N_99.113932_W_region:MX_type:railwaystation" TargetMode="External"/><Relationship Id="rId9"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8" Type="http://schemas.openxmlformats.org/officeDocument/2006/relationships/hyperlink" Target="http://toolserver.org/~geohack/geohack.php?pagename=Hangares_(estaci%C3%B3n)&amp;language=es&amp;params=19.424142_N_99.087496_W_region:MX_type:landmark_scale:5000" TargetMode="External"/><Relationship Id="rId3" Type="http://schemas.openxmlformats.org/officeDocument/2006/relationships/hyperlink" Target="http://toolserver.org/~geohack/geohack.php?pagename=Autobuses_del_Norte_(estaci%C3%B3n)&amp;language=es&amp;params=19.478973_N_99.140668_W_region:MX_type:landmark_scale:5000" TargetMode="External"/><Relationship Id="rId7" Type="http://schemas.openxmlformats.org/officeDocument/2006/relationships/hyperlink" Target="http://toolserver.org/~geohack/geohack.php?pagename=Terminal_A%C3%A9rea_(estaci%C3%B3n)&amp;language=es&amp;params=19.433734_N_99.087667_W_region:MX_type:landmark_scale:5000" TargetMode="External"/><Relationship Id="rId2" Type="http://schemas.openxmlformats.org/officeDocument/2006/relationships/hyperlink" Target="http://toolserver.org/~geohack/geohack.php?pagename=Instituto_del_Petr%C3%B3leo_(estaci%C3%B3n)&amp;language=es&amp;params=19.489573_N_99.14526_W_region:MX_type:landmark_scale:5000" TargetMode="External"/><Relationship Id="rId1" Type="http://schemas.openxmlformats.org/officeDocument/2006/relationships/hyperlink" Target="http://toolserver.org/~geohack/geohack.php?pagename=Polit%C3%A9cnico_(estaci%C3%B3n)&amp;language=es&amp;params=19.50082_N_99.149294_W_region:MX_type:landmark_scale:5000" TargetMode="External"/><Relationship Id="rId6" Type="http://schemas.openxmlformats.org/officeDocument/2006/relationships/hyperlink" Target="http://toolserver.org/~geohack/geohack.php?pagename=Arag%C3%B3n_(estaci%C3%B3n)&amp;language=es&amp;params=19.451236_N_99.095886_W_region:MX_type:landmark_scale:5000" TargetMode="External"/><Relationship Id="rId11" Type="http://schemas.openxmlformats.org/officeDocument/2006/relationships/ctrlProp" Target="../ctrlProps/ctrlProp13.xml"/><Relationship Id="rId5" Type="http://schemas.openxmlformats.org/officeDocument/2006/relationships/hyperlink" Target="http://toolserver.org/~geohack/geohack.php?pagename=Eduardo_Molina_(estaci%C3%B3n)&amp;language=es&amp;params=19.451378_N_99.105434_W_region:MX_type:landmark_scale:5000" TargetMode="External"/><Relationship Id="rId4" Type="http://schemas.openxmlformats.org/officeDocument/2006/relationships/hyperlink" Target="http://toolserver.org/~geohack/geohack.php?pagename=Valle_G%C3%B3mez_(estaci%C3%B3n)&amp;language=es&amp;params=19.458742_N_99.119296_W_region:MX_type:landmark_scale:5000" TargetMode="External"/><Relationship Id="rId9"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8" Type="http://schemas.openxmlformats.org/officeDocument/2006/relationships/hyperlink" Target="http://toolserver.org/~geohack/geohack.php?pagename=La_Villa-Bas%C3%ADlica_(estaci%C3%B3n)&amp;language=es&amp;params=19.481522_N_99.117923_W_region:MX_type:railwaystation" TargetMode="External"/><Relationship Id="rId3" Type="http://schemas.openxmlformats.org/officeDocument/2006/relationships/hyperlink" Target="http://toolserver.org/~geohack/geohack.php?pagename=Tezoz%C3%B3moc_(estaci%C3%B3n)&amp;language=es&amp;params=19.495116_N_99.196286_W_region:MX_type:railwaystation" TargetMode="External"/><Relationship Id="rId7" Type="http://schemas.openxmlformats.org/officeDocument/2006/relationships/hyperlink" Target="http://toolserver.org/~geohack/geohack.php?pagename=Lindavista_(estaci%C3%B3n)&amp;language=es&amp;params=19.487712_N_99.13466_W_region:MX_type:railwaystation" TargetMode="External"/><Relationship Id="rId2" Type="http://schemas.openxmlformats.org/officeDocument/2006/relationships/hyperlink" Target="http://toolserver.org/~geohack/geohack.php?pagename=Azcapotzalco_(estaci%C3%B3n)&amp;language=es&amp;params=19.490989_N_99.186416_W_region:MX_type:railwaystation" TargetMode="External"/><Relationship Id="rId1" Type="http://schemas.openxmlformats.org/officeDocument/2006/relationships/hyperlink" Target="http://toolserver.org/~geohack/geohack.php?pagename=El_Rosario_(estaci%C3%B3n)&amp;language=es&amp;params=19.504541_N_99.20002_W_region:MX_type:railwaystation" TargetMode="External"/><Relationship Id="rId6" Type="http://schemas.openxmlformats.org/officeDocument/2006/relationships/hyperlink" Target="http://toolserver.org/~geohack/geohack.php?pagename=Vallejo_(estaci%C3%B3n)&amp;language=es&amp;params=19.490625_N_99.15586_W_region:MX_type:railwaystation" TargetMode="External"/><Relationship Id="rId11" Type="http://schemas.openxmlformats.org/officeDocument/2006/relationships/ctrlProp" Target="../ctrlProps/ctrlProp14.xml"/><Relationship Id="rId5" Type="http://schemas.openxmlformats.org/officeDocument/2006/relationships/hyperlink" Target="http://toolserver.org/~geohack/geohack.php?pagename=Norte_45_(estaci%C3%B3n)&amp;language=es&amp;params=19.488683_N_99.162769_W_region:MX_type:railwaystation" TargetMode="External"/><Relationship Id="rId4" Type="http://schemas.openxmlformats.org/officeDocument/2006/relationships/hyperlink" Target="http://toolserver.org/~geohack/geohack.php?pagename=Ferrer%C3%ADa_(estaci%C3%B3n)&amp;language=es&amp;params=19.490746_N_99.173841_W_region:MX_type:railwaystation" TargetMode="External"/><Relationship Id="rId9"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8" Type="http://schemas.openxmlformats.org/officeDocument/2006/relationships/hyperlink" Target="http://toolserver.org/~geohack/geohack.php?pagename=San_Pedro_de_los_Pinos_(estaci%C3%B3n)&amp;language=es&amp;params=19.391275_N_99.186051_W_region:MX_type:railwaystation" TargetMode="External"/><Relationship Id="rId3" Type="http://schemas.openxmlformats.org/officeDocument/2006/relationships/hyperlink" Target="http://toolserver.org/~geohack/geohack.php?pagename=Refiner%C3%ADa_(estaci%C3%B3n)&amp;language=es&amp;params=19.469951_N_99.190578_W_region:MX_type:railwaystation" TargetMode="External"/><Relationship Id="rId7" Type="http://schemas.openxmlformats.org/officeDocument/2006/relationships/hyperlink" Target="http://toolserver.org/~geohack/geohack.php?pagename=Constituyentes_(estaci%C3%B3n)&amp;language=es&amp;params=19.411858_N_99.191265_W_region:MX_type:railwaystation" TargetMode="External"/><Relationship Id="rId12" Type="http://schemas.openxmlformats.org/officeDocument/2006/relationships/vmlDrawing" Target="../drawings/vmlDrawing15.vml"/><Relationship Id="rId2" Type="http://schemas.openxmlformats.org/officeDocument/2006/relationships/hyperlink" Target="http://toolserver.org/~geohack/geohack.php?pagename=Camarones_(estaci%C3%B3n)&amp;language=es&amp;params=19.479135_N_99.190063_W_region:MX_type:railwaystation" TargetMode="External"/><Relationship Id="rId1" Type="http://schemas.openxmlformats.org/officeDocument/2006/relationships/hyperlink" Target="http://toolserver.org/~geohack/geohack.php?pagename=Aquiles_Serd%C3%A1n_(estaci%C3%B3n)&amp;language=es&amp;params=19.490423_N_99.19487_W_region:MX_type:railwaystation" TargetMode="External"/><Relationship Id="rId6" Type="http://schemas.openxmlformats.org/officeDocument/2006/relationships/hyperlink" Target="http://toolserver.org/~geohack/geohack.php?pagename=Auditorio_(estaci%C3%B3n)&amp;language=es&amp;params=19.425498_N_99.191995_W_region:MX_type:railwaystation" TargetMode="External"/><Relationship Id="rId11" Type="http://schemas.openxmlformats.org/officeDocument/2006/relationships/hyperlink" Target="http://toolserver.org/~geohack/geohack.php?pagename=Barranca_del_Muerto_(estaci%C3%B3n)&amp;language=es&amp;params=19.360648_N_99.190149_W_region:MX_type:railwaystation" TargetMode="External"/><Relationship Id="rId5" Type="http://schemas.openxmlformats.org/officeDocument/2006/relationships/hyperlink" Target="http://toolserver.org/~geohack/geohack.php?pagename=Polanco_(estaci%C3%B3n)&amp;language=es&amp;params=19.433511_N_99.191029_W_region:MX_type:railwaystation" TargetMode="External"/><Relationship Id="rId10" Type="http://schemas.openxmlformats.org/officeDocument/2006/relationships/hyperlink" Target="http://toolserver.org/~geohack/geohack.php?pagename=Mixcoac_(estaci%C3%B3n)&amp;language=es&amp;params=19.375891_N_99.187531_W_region:MX_type:railwaystation" TargetMode="External"/><Relationship Id="rId4" Type="http://schemas.openxmlformats.org/officeDocument/2006/relationships/hyperlink" Target="http://toolserver.org/~geohack/geohack.php?pagename=San_Joaqu%C3%ADn_(estaci%C3%B3n_Metro_de_Ciudad_de_M%C3%A9xico)&amp;language=es&amp;params=19.445793_N_99.191823_W_region:MX_type:railwaystation" TargetMode="External"/><Relationship Id="rId9" Type="http://schemas.openxmlformats.org/officeDocument/2006/relationships/hyperlink" Target="http://toolserver.org/~geohack/geohack.php?pagename=San_Antonio_(estaci%C3%B3n_Metro_de_Ciudad_de_M%C3%A9xico)&amp;language=es&amp;params=19.384757_N_99.186308_W_region:MX_type:railwaystation" TargetMode="External"/><Relationship Id="rId14" Type="http://schemas.openxmlformats.org/officeDocument/2006/relationships/ctrlProp" Target="../ctrlProps/ctrlProp15.xml"/></Relationships>
</file>

<file path=xl/worksheets/_rels/sheet18.xml.rels><?xml version="1.0" encoding="UTF-8" standalone="yes"?>
<Relationships xmlns="http://schemas.openxmlformats.org/package/2006/relationships"><Relationship Id="rId8" Type="http://schemas.openxmlformats.org/officeDocument/2006/relationships/hyperlink" Target="http://toolserver.org/~geohack/geohack.php?pagename=Aculco_(estaci%C3%B3n)&amp;language=es&amp;params=19.374069_N_99.108095_W_region:MX_type:railwaystation" TargetMode="External"/><Relationship Id="rId13" Type="http://schemas.openxmlformats.org/officeDocument/2006/relationships/hyperlink" Target="http://toolserver.org/~geohack/geohack.php?pagename=UAM-I_(estaci%C3%B3n)&amp;language=es&amp;params=19.351234_N_99.074707_W_region:MX_type:railwaystation" TargetMode="External"/><Relationship Id="rId3" Type="http://schemas.openxmlformats.org/officeDocument/2006/relationships/hyperlink" Target="http://toolserver.org/~geohack/geohack.php?pagename=La_Viga_(estaci%C3%B3n)&amp;language=es&amp;params=19.406495_N_99.126248_W_region:MX_type:railwaystation" TargetMode="External"/><Relationship Id="rId7" Type="http://schemas.openxmlformats.org/officeDocument/2006/relationships/hyperlink" Target="http://toolserver.org/~geohack/geohack.php?pagename=Apatlaco_(estaci%C3%B3n)&amp;language=es&amp;params=19.379292_N_99.109597_W_region:MX_type:railwaystation" TargetMode="External"/><Relationship Id="rId12" Type="http://schemas.openxmlformats.org/officeDocument/2006/relationships/hyperlink" Target="http://toolserver.org/~geohack/geohack.php?pagename=Cerro_de_la_Estrella_(estaci%C3%B3n)&amp;language=es&amp;params=19.356012_N_99.085522_W_region:MX_type:railwaystation" TargetMode="External"/><Relationship Id="rId17" Type="http://schemas.openxmlformats.org/officeDocument/2006/relationships/ctrlProp" Target="../ctrlProps/ctrlProp16.xml"/><Relationship Id="rId2" Type="http://schemas.openxmlformats.org/officeDocument/2006/relationships/hyperlink" Target="http://toolserver.org/~geohack/geohack.php?pagename=Doctores_(estaci%C3%B3n)&amp;language=es&amp;params=19.421612_N_99.143372_W_region:MX_type:railwaystation" TargetMode="External"/><Relationship Id="rId1" Type="http://schemas.openxmlformats.org/officeDocument/2006/relationships/hyperlink" Target="http://toolserver.org/~geohack/geohack.php?pagename=San_Juan_de_Letr%C3%A1n_(estaci%C3%B3n)&amp;language=es&amp;params=19.431305_N_99.141569_W_region:MX_type:railwaystation" TargetMode="External"/><Relationship Id="rId6" Type="http://schemas.openxmlformats.org/officeDocument/2006/relationships/hyperlink" Target="http://toolserver.org/~geohack/geohack.php?pagename=Iztacalco_(estaci%C3%B3n)&amp;language=es&amp;params=19.398521_N_99.113545_W_region:MX_type:railwaystation" TargetMode="External"/><Relationship Id="rId11" Type="http://schemas.openxmlformats.org/officeDocument/2006/relationships/hyperlink" Target="http://toolserver.org/~geohack/geohack.php?pagename=Iztapalapa_(estaci%C3%B3n)&amp;language=es&amp;params=19.357834_N_99.093461_W_region:MX_type:railwaystation" TargetMode="External"/><Relationship Id="rId5" Type="http://schemas.openxmlformats.org/officeDocument/2006/relationships/hyperlink" Target="http://toolserver.org/~geohack/geohack.php?pagename=Coyuya_(estaci%C3%B3n)&amp;language=es&amp;params=19.398521_N_99.113545_W_region:MX_type:railwaystation" TargetMode="External"/><Relationship Id="rId15" Type="http://schemas.openxmlformats.org/officeDocument/2006/relationships/vmlDrawing" Target="../drawings/vmlDrawing16.vml"/><Relationship Id="rId10" Type="http://schemas.openxmlformats.org/officeDocument/2006/relationships/hyperlink" Target="http://toolserver.org/~geohack/geohack.php?pagename=Atlalilco_(estaci%C3%B3n)&amp;language=es&amp;params=19.356134_N_99.101315_W_region:MX_type:railwaystation" TargetMode="External"/><Relationship Id="rId4" Type="http://schemas.openxmlformats.org/officeDocument/2006/relationships/hyperlink" Target="http://toolserver.org/~geohack/geohack.php?pagename=Obrera_(estaci%C3%B3n)&amp;language=es&amp;params=19.413558_N_99.144187_W_region:MX_type:railwaystation" TargetMode="External"/><Relationship Id="rId9" Type="http://schemas.openxmlformats.org/officeDocument/2006/relationships/hyperlink" Target="http://toolserver.org/~geohack/geohack.php?pagename=Escuadr%C3%B3n_201_(estaci%C3%B3n)&amp;language=es&amp;params=19.36492_N_99.109554_W_region:MX_type:railwaystation" TargetMode="External"/><Relationship Id="rId14" Type="http://schemas.openxmlformats.org/officeDocument/2006/relationships/hyperlink" Target="http://toolserver.org/~geohack/geohack.php?pagename=Constituci%C3%B3n_de_1917_(estaci%C3%B3n)&amp;language=es&amp;params=19.34593_N_99.063892_W_region:MX_type:railwaystation"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toolserver.org/~geohack/geohack.php?pagename=L%C3%A1zaro_C%C3%A1rdenas_(estaci%C3%B3n)&amp;language=es&amp;params=19.40696_N_99.144874_W_region:MX_type:landmark_scale:5000" TargetMode="External"/><Relationship Id="rId7" Type="http://schemas.openxmlformats.org/officeDocument/2006/relationships/vmlDrawing" Target="../drawings/vmlDrawing17.vml"/><Relationship Id="rId2" Type="http://schemas.openxmlformats.org/officeDocument/2006/relationships/hyperlink" Target="http://toolserver.org/~geohack/geohack.php?pagename=Chilpancingo_(estaci%C3%B3n)&amp;language=es&amp;params=19.406131_N_99.168477_W_region:MX_type:landmark_scale:5000" TargetMode="External"/><Relationship Id="rId1" Type="http://schemas.openxmlformats.org/officeDocument/2006/relationships/hyperlink" Target="http://toolserver.org/~geohack/geohack.php?pagename=Patriotismo_(estaci%C3%B3n)&amp;language=es&amp;params=19.406212_N_99.178905_W_region:MX_type:landmark_scale:5000" TargetMode="External"/><Relationship Id="rId6" Type="http://schemas.openxmlformats.org/officeDocument/2006/relationships/hyperlink" Target="http://toolserver.org/~geohack/geohack.php?pagename=Ciudad_Deportiva_(estaci%C3%B3n)&amp;language=es&amp;params=19.408357_N_99.091229_W_region:MX_type:landmark_scale:5000" TargetMode="External"/><Relationship Id="rId5" Type="http://schemas.openxmlformats.org/officeDocument/2006/relationships/hyperlink" Target="http://toolserver.org/~geohack/geohack.php?pagename=Vel%C3%B3dromo_(estaci%C3%B3n)&amp;language=es&amp;params=19.408478_N_99.103074_W_region:MX_type:landmark_scale:5000" TargetMode="External"/><Relationship Id="rId4" Type="http://schemas.openxmlformats.org/officeDocument/2006/relationships/hyperlink" Target="http://toolserver.org/~geohack/geohack.php?pagename=Mixiuhca_(estaci%C3%B3n)&amp;language=es&amp;params=19.408478_N_99.112902_W_region:MX_type:landmark_scale:5000" TargetMode="External"/><Relationship Id="rId9"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8" Type="http://schemas.openxmlformats.org/officeDocument/2006/relationships/hyperlink" Target="http://toolserver.org/~geohack/geohack.php?pagename=Los_Reyes_(estaci%C3%B3n)&amp;language=es&amp;params=19.358968_N_98.976903_W_region:MX_type:landmark_scale:5000" TargetMode="External"/><Relationship Id="rId3" Type="http://schemas.openxmlformats.org/officeDocument/2006/relationships/hyperlink" Target="http://toolserver.org/~geohack/geohack.php?pagename=Tepalcates_(estaci%C3%B3n)&amp;language=es&amp;params=19.391335_N_99.046383_W_region:MX_type:landmark_scale:5000" TargetMode="External"/><Relationship Id="rId7" Type="http://schemas.openxmlformats.org/officeDocument/2006/relationships/hyperlink" Target="http://toolserver.org/~geohack/geohack.php?pagename=Santa_Marta_(estaci%C3%B3n)&amp;language=es&amp;params=19.36_N_98.994863_W_region:MX_type:landmark_scale:5000" TargetMode="External"/><Relationship Id="rId12" Type="http://schemas.openxmlformats.org/officeDocument/2006/relationships/ctrlProp" Target="../ctrlProps/ctrlProp18.xml"/><Relationship Id="rId2" Type="http://schemas.openxmlformats.org/officeDocument/2006/relationships/hyperlink" Target="http://toolserver.org/~geohack/geohack.php?pagename=Canal_de_San_Juan_(estaci%C3%B3n)&amp;language=es&amp;params=19.398683_N_99.059365_W_region:MX_type:landmark_scale:5000" TargetMode="External"/><Relationship Id="rId1" Type="http://schemas.openxmlformats.org/officeDocument/2006/relationships/hyperlink" Target="http://toolserver.org/~geohack/geohack.php?pagename=Agr%C3%ADcola_Oriental_(estaci%C3%B3n)&amp;language=es&amp;params=19.404835_N_99.069901_W_region:MX_type:landmark_scale:5000" TargetMode="External"/><Relationship Id="rId6" Type="http://schemas.openxmlformats.org/officeDocument/2006/relationships/hyperlink" Target="http://toolserver.org/~geohack/geohack.php?pagename=Acatitla_(estaci%C3%B3n)&amp;language=es&amp;params=19.364737_N_99.005892_W_region:MX_type:landmark_scale:5000" TargetMode="External"/><Relationship Id="rId5" Type="http://schemas.openxmlformats.org/officeDocument/2006/relationships/hyperlink" Target="http://toolserver.org/~geohack/geohack.php?pagename=Pe%C3%B1%C3%B3n_Viejo_(estaci%C3%B3n)&amp;language=es&amp;params=19.37332_N_99.017093_W_region:MX_type:landmark_scale:5000" TargetMode="External"/><Relationship Id="rId10" Type="http://schemas.openxmlformats.org/officeDocument/2006/relationships/vmlDrawing" Target="../drawings/vmlDrawing18.vml"/><Relationship Id="rId4" Type="http://schemas.openxmlformats.org/officeDocument/2006/relationships/hyperlink" Target="http://toolserver.org/~geohack/geohack.php?pagename=Guelatao_(estaci%C3%B3n)&amp;language=es&amp;params=19.385162_N_99.03574_W_region:MX_type:landmark_scale:5000" TargetMode="External"/><Relationship Id="rId9" Type="http://schemas.openxmlformats.org/officeDocument/2006/relationships/hyperlink" Target="http://toolserver.org/~geohack/geohack.php?pagename=La_Paz_(estaci%C3%B3n)&amp;language=es&amp;params=19.350526_N_98.960745_W_region:MX_type:landmark_scale:5000"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toolserver.org/~geohack/geohack.php?pagename=Villa_de_Arag%C3%B3n_(estaci%C3%B3n)&amp;language=es&amp;params=19.461656_N_99.061704_W_region:MX_type:landmark_scale:5000" TargetMode="External"/><Relationship Id="rId13" Type="http://schemas.openxmlformats.org/officeDocument/2006/relationships/hyperlink" Target="http://toolserver.org/~geohack/geohack.php?pagename=Ricardo_Flores_Mag%C3%B3n_(estaci%C3%B3n)&amp;language=es&amp;params=19.436567_N_99.103675_W_region:MX_type:landmark_scale:5000" TargetMode="External"/><Relationship Id="rId18" Type="http://schemas.openxmlformats.org/officeDocument/2006/relationships/hyperlink" Target="http://toolserver.org/~geohack/geohack.php?pagename=Garibaldi-Lagunilla_(estaci%C3%B3n)&amp;language=es&amp;params=19.444458_N_99.139734_W_region:MX_type:railwaystation" TargetMode="External"/><Relationship Id="rId3" Type="http://schemas.openxmlformats.org/officeDocument/2006/relationships/hyperlink" Target="http://toolserver.org/~geohack/geohack.php?pagename=Ecatepec_(estaci%C3%B3n)&amp;language=es&amp;params=19.515301_N_99.035997_W_region:MX_type:landmark_scale:5000" TargetMode="External"/><Relationship Id="rId21" Type="http://schemas.openxmlformats.org/officeDocument/2006/relationships/hyperlink" Target="http://toolserver.org/~geohack/geohack.php?pagename=Ciudad_Azteca_(estaci%C3%B3n)&amp;language=es&amp;params=19.534595_N_99.0275_W_region:MX_type:landmark_scale:5000" TargetMode="External"/><Relationship Id="rId7" Type="http://schemas.openxmlformats.org/officeDocument/2006/relationships/hyperlink" Target="http://toolserver.org/~geohack/geohack.php?pagename=Nezahualc%C3%B3yotl_(estaci%C3%B3n)&amp;language=es&amp;params=19.473066_N_99.054537_W_region:MX_type:landmark_scale:5000" TargetMode="External"/><Relationship Id="rId12" Type="http://schemas.openxmlformats.org/officeDocument/2006/relationships/hyperlink" Target="http://toolserver.org/~geohack/geohack.php?pagename=Romero_Rubio_(estaci%C3%B3n)&amp;language=es&amp;params=19.436567_N_99.103675_W_region:MX_type:landmark_scale:5000" TargetMode="External"/><Relationship Id="rId17" Type="http://schemas.openxmlformats.org/officeDocument/2006/relationships/hyperlink" Target="http://toolserver.org/~geohack/geohack.php?pagename=Lagunilla_(estaci%C3%B3n)&amp;language=es&amp;params=19.443386_N_99.131334_W_region:MX_type:landmark_scale:5000" TargetMode="External"/><Relationship Id="rId2" Type="http://schemas.openxmlformats.org/officeDocument/2006/relationships/hyperlink" Target="http://toolserver.org/~geohack/geohack.php?pagename=Ol%C3%ADmpica_(estaci%C3%B3n)&amp;language=es&amp;params=19.521328_N_99.033422_W_region:MX_type:landmark_scale:5000" TargetMode="External"/><Relationship Id="rId16" Type="http://schemas.openxmlformats.org/officeDocument/2006/relationships/hyperlink" Target="http://toolserver.org/~geohack/geohack.php?pagename=Tepito_(estaci%C3%B3n)&amp;language=es&amp;params=19.442495_N_99.12333_W_region:MX_type:landmark_scale:5000" TargetMode="External"/><Relationship Id="rId20" Type="http://schemas.openxmlformats.org/officeDocument/2006/relationships/hyperlink" Target="http://toolserver.org/~geohack/geohack.php?pagename=Buenavista_(estaci%C3%B3n)&amp;language=es&amp;params=19.446603_N_99.153199_W_region:MX_type:landmark_scale:5000" TargetMode="External"/><Relationship Id="rId1" Type="http://schemas.openxmlformats.org/officeDocument/2006/relationships/hyperlink" Target="http://toolserver.org/~geohack/geohack.php?pagename=Plaza_Arag%C3%B3n_(estaci%C3%B3n)&amp;language=es&amp;params=19.528447_N_99.030118_W_region:MX_type:landmark_scale:5000" TargetMode="External"/><Relationship Id="rId6" Type="http://schemas.openxmlformats.org/officeDocument/2006/relationships/hyperlink" Target="http://toolserver.org/~geohack/geohack.php?pagename=Impulsora_(estaci%C3%B3n)&amp;language=es&amp;params=19.485851_N_99.048915_W_region:MX_type:landmark_scale:5000" TargetMode="External"/><Relationship Id="rId11" Type="http://schemas.openxmlformats.org/officeDocument/2006/relationships/hyperlink" Target="http://toolserver.org/~geohack/geohack.php?pagename=Ocean%C3%ADa_(estaci%C3%B3n)&amp;language=es&amp;params=19.445672_N_99.087238_W_region:MX_type:landmark_scale:5000" TargetMode="External"/><Relationship Id="rId24" Type="http://schemas.openxmlformats.org/officeDocument/2006/relationships/ctrlProp" Target="../ctrlProps/ctrlProp19.xml"/><Relationship Id="rId5" Type="http://schemas.openxmlformats.org/officeDocument/2006/relationships/hyperlink" Target="http://toolserver.org/~geohack/geohack.php?pagename=R%C3%ADo_de_los_Remedios_(estaci%C3%B3n)&amp;language=es&amp;params=19.490908_N_99.046597_W_region:MX_type:landmark_scale:5000" TargetMode="External"/><Relationship Id="rId15" Type="http://schemas.openxmlformats.org/officeDocument/2006/relationships/hyperlink" Target="http://toolserver.org/~geohack/geohack.php?pagename=Morelos_(estaci%C3%B3n)&amp;language=es&amp;params=19.438974_N_99.118266_W_region:MX_type:railwaystation" TargetMode="External"/><Relationship Id="rId10" Type="http://schemas.openxmlformats.org/officeDocument/2006/relationships/hyperlink" Target="http://toolserver.org/~geohack/geohack.php?pagename=Deportivo_Ocean%C3%ADa_(estaci%C3%B3n)&amp;language=es&amp;params=19.451034_N_99.07917_W_region:MX_type:landmark_scale:5000" TargetMode="External"/><Relationship Id="rId19" Type="http://schemas.openxmlformats.org/officeDocument/2006/relationships/hyperlink" Target="http://toolserver.org/~geohack/geohack.php?pagename=Guerrero_(estaci%C3%B3n)&amp;language=es&amp;params=19.445146_N_99.145389_W_region:MX_type:railwaystation" TargetMode="External"/><Relationship Id="rId4" Type="http://schemas.openxmlformats.org/officeDocument/2006/relationships/hyperlink" Target="http://toolserver.org/~geohack/geohack.php?pagename=M%C3%BAzquiz_(estaci%C3%B3n)&amp;language=es&amp;params=19.501629_N_99.042048_W_region:MX_type:landmark_scale:5000" TargetMode="External"/><Relationship Id="rId9" Type="http://schemas.openxmlformats.org/officeDocument/2006/relationships/hyperlink" Target="http://toolserver.org/~geohack/geohack.php?pagename=Bosque_de_Arag%C3%B3n_(estaci%C3%B3n)&amp;language=es&amp;params=19.458115_N_99.069192_W_region:MX_type:landmark_scale:5000" TargetMode="External"/><Relationship Id="rId14" Type="http://schemas.openxmlformats.org/officeDocument/2006/relationships/hyperlink" Target="http://toolserver.org/~geohack/geohack.php?pagename=San_L%C3%A1zaro_(estaci%C3%B3n)&amp;language=es&amp;params=19.430213_N_99.114833_W_region:MX_type:railwaystation" TargetMode="External"/><Relationship Id="rId22"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sheetPr codeName="Hoja1"/>
  <dimension ref="A2:L108"/>
  <sheetViews>
    <sheetView workbookViewId="0">
      <selection activeCell="L21" sqref="L21"/>
    </sheetView>
  </sheetViews>
  <sheetFormatPr baseColWidth="10" defaultRowHeight="15"/>
  <cols>
    <col min="2" max="3" width="18.28515625" bestFit="1" customWidth="1"/>
    <col min="5" max="5" width="2.140625" style="6" bestFit="1" customWidth="1"/>
    <col min="6" max="6" width="9" style="1" bestFit="1" customWidth="1"/>
    <col min="7" max="7" width="11.7109375" style="1" bestFit="1" customWidth="1"/>
    <col min="8" max="8" width="7.7109375" bestFit="1" customWidth="1"/>
    <col min="10" max="10" width="15" bestFit="1" customWidth="1"/>
    <col min="11" max="11" width="16.5703125" bestFit="1" customWidth="1"/>
    <col min="12" max="12" width="19.7109375" bestFit="1" customWidth="1"/>
  </cols>
  <sheetData>
    <row r="2" spans="1:12" ht="30">
      <c r="B2" s="2" t="s">
        <v>1</v>
      </c>
      <c r="C2" s="2" t="s">
        <v>5</v>
      </c>
      <c r="D2" s="2" t="s">
        <v>2</v>
      </c>
      <c r="F2" s="3" t="s">
        <v>40</v>
      </c>
      <c r="G2" s="3" t="s">
        <v>39</v>
      </c>
      <c r="H2" s="2" t="s">
        <v>6</v>
      </c>
    </row>
    <row r="3" spans="1:12" ht="4.5" customHeight="1">
      <c r="B3" s="4"/>
      <c r="C3" s="4"/>
      <c r="D3" s="4"/>
      <c r="E3" s="7"/>
      <c r="F3" s="5"/>
      <c r="G3" s="5"/>
      <c r="H3" s="4"/>
    </row>
    <row r="4" spans="1:12">
      <c r="A4">
        <v>1</v>
      </c>
      <c r="B4" t="s">
        <v>0</v>
      </c>
      <c r="C4" t="s">
        <v>8</v>
      </c>
      <c r="D4" t="s">
        <v>3</v>
      </c>
      <c r="E4" s="6">
        <v>6</v>
      </c>
      <c r="G4" s="1">
        <v>6</v>
      </c>
      <c r="H4" t="s">
        <v>7</v>
      </c>
      <c r="J4" t="s">
        <v>42</v>
      </c>
      <c r="K4" t="s">
        <v>52</v>
      </c>
      <c r="L4" t="s">
        <v>60</v>
      </c>
    </row>
    <row r="5" spans="1:12">
      <c r="C5" t="s">
        <v>9</v>
      </c>
      <c r="D5" t="s">
        <v>4</v>
      </c>
      <c r="E5" s="6">
        <v>7</v>
      </c>
      <c r="G5" s="1">
        <v>4</v>
      </c>
      <c r="H5" t="s">
        <v>7</v>
      </c>
      <c r="J5" t="s">
        <v>43</v>
      </c>
      <c r="K5" t="s">
        <v>53</v>
      </c>
      <c r="L5" t="s">
        <v>54</v>
      </c>
    </row>
    <row r="6" spans="1:12">
      <c r="J6" t="s">
        <v>44</v>
      </c>
      <c r="K6" t="s">
        <v>56</v>
      </c>
      <c r="L6" t="s">
        <v>55</v>
      </c>
    </row>
    <row r="7" spans="1:12">
      <c r="A7">
        <v>2</v>
      </c>
      <c r="B7" t="s">
        <v>8</v>
      </c>
      <c r="C7" t="s">
        <v>10</v>
      </c>
      <c r="D7" t="s">
        <v>3</v>
      </c>
      <c r="E7" s="6">
        <v>6</v>
      </c>
      <c r="G7" s="1">
        <v>2</v>
      </c>
      <c r="H7" t="s">
        <v>7</v>
      </c>
      <c r="J7" t="s">
        <v>45</v>
      </c>
      <c r="K7" t="s">
        <v>57</v>
      </c>
      <c r="L7" t="s">
        <v>58</v>
      </c>
    </row>
    <row r="8" spans="1:12">
      <c r="C8" t="s">
        <v>0</v>
      </c>
      <c r="D8" t="s">
        <v>3</v>
      </c>
      <c r="E8" s="6">
        <v>6</v>
      </c>
      <c r="G8" s="1">
        <v>6</v>
      </c>
      <c r="H8" t="s">
        <v>7</v>
      </c>
      <c r="J8" t="s">
        <v>4303</v>
      </c>
      <c r="K8" t="s">
        <v>59</v>
      </c>
      <c r="L8" t="s">
        <v>60</v>
      </c>
    </row>
    <row r="9" spans="1:12">
      <c r="C9" t="s">
        <v>11</v>
      </c>
      <c r="D9" t="s">
        <v>12</v>
      </c>
      <c r="E9" s="6">
        <v>5</v>
      </c>
      <c r="G9" s="1">
        <v>2</v>
      </c>
      <c r="H9" t="s">
        <v>7</v>
      </c>
      <c r="J9" t="s">
        <v>4302</v>
      </c>
      <c r="K9" t="s">
        <v>51</v>
      </c>
      <c r="L9" t="s">
        <v>57</v>
      </c>
    </row>
    <row r="10" spans="1:12">
      <c r="J10" t="s">
        <v>46</v>
      </c>
      <c r="K10" t="s">
        <v>51</v>
      </c>
      <c r="L10" t="s">
        <v>52</v>
      </c>
    </row>
    <row r="11" spans="1:12">
      <c r="A11">
        <v>3</v>
      </c>
      <c r="B11" t="s">
        <v>10</v>
      </c>
      <c r="C11" t="s">
        <v>8</v>
      </c>
      <c r="D11" t="s">
        <v>3</v>
      </c>
      <c r="E11" s="6">
        <v>6</v>
      </c>
      <c r="G11" s="1">
        <v>2</v>
      </c>
      <c r="H11" t="s">
        <v>7</v>
      </c>
      <c r="J11" t="s">
        <v>47</v>
      </c>
      <c r="K11" t="s">
        <v>61</v>
      </c>
      <c r="L11" t="s">
        <v>58</v>
      </c>
    </row>
    <row r="12" spans="1:12">
      <c r="C12" t="s">
        <v>14</v>
      </c>
      <c r="D12" t="s">
        <v>3</v>
      </c>
      <c r="E12" s="6">
        <v>6</v>
      </c>
      <c r="G12" s="1">
        <v>2</v>
      </c>
      <c r="H12" t="s">
        <v>7</v>
      </c>
      <c r="J12" t="s">
        <v>48</v>
      </c>
      <c r="K12" t="s">
        <v>52</v>
      </c>
      <c r="L12" t="s">
        <v>60</v>
      </c>
    </row>
    <row r="13" spans="1:12">
      <c r="C13" t="s">
        <v>11</v>
      </c>
      <c r="D13" t="s">
        <v>13</v>
      </c>
      <c r="E13" s="6">
        <v>3</v>
      </c>
      <c r="G13" s="1">
        <v>2</v>
      </c>
      <c r="H13" t="s">
        <v>7</v>
      </c>
      <c r="J13" t="s">
        <v>4304</v>
      </c>
      <c r="K13" t="s">
        <v>4305</v>
      </c>
      <c r="L13" t="s">
        <v>4306</v>
      </c>
    </row>
    <row r="14" spans="1:12">
      <c r="J14" t="s">
        <v>49</v>
      </c>
      <c r="K14" t="s">
        <v>63</v>
      </c>
      <c r="L14" t="s">
        <v>62</v>
      </c>
    </row>
    <row r="15" spans="1:12">
      <c r="A15">
        <v>4</v>
      </c>
      <c r="B15" t="s">
        <v>14</v>
      </c>
      <c r="C15" t="s">
        <v>10</v>
      </c>
      <c r="D15" t="s">
        <v>3</v>
      </c>
      <c r="E15" s="6">
        <v>6</v>
      </c>
      <c r="G15" s="1">
        <v>2</v>
      </c>
      <c r="H15" t="s">
        <v>7</v>
      </c>
    </row>
    <row r="16" spans="1:12">
      <c r="C16" t="s">
        <v>15</v>
      </c>
      <c r="D16" t="s">
        <v>16</v>
      </c>
      <c r="E16" s="6">
        <v>4</v>
      </c>
      <c r="G16" s="1">
        <v>3</v>
      </c>
      <c r="H16" t="s">
        <v>7</v>
      </c>
    </row>
    <row r="18" spans="1:8">
      <c r="A18">
        <v>5</v>
      </c>
      <c r="B18" t="s">
        <v>11</v>
      </c>
      <c r="C18" t="s">
        <v>8</v>
      </c>
      <c r="D18" t="s">
        <v>12</v>
      </c>
      <c r="E18" s="6">
        <v>5</v>
      </c>
      <c r="G18" s="1">
        <v>2</v>
      </c>
      <c r="H18" t="s">
        <v>7</v>
      </c>
    </row>
    <row r="19" spans="1:8">
      <c r="C19" t="s">
        <v>15</v>
      </c>
      <c r="D19" t="s">
        <v>12</v>
      </c>
      <c r="E19" s="6">
        <v>5</v>
      </c>
      <c r="G19" s="1">
        <v>3</v>
      </c>
      <c r="H19" t="s">
        <v>7</v>
      </c>
    </row>
    <row r="20" spans="1:8">
      <c r="C20" t="s">
        <v>10</v>
      </c>
      <c r="D20" t="s">
        <v>13</v>
      </c>
      <c r="E20" s="6">
        <v>3</v>
      </c>
      <c r="G20" s="1">
        <v>2</v>
      </c>
      <c r="H20" t="s">
        <v>7</v>
      </c>
    </row>
    <row r="21" spans="1:8">
      <c r="C21" t="s">
        <v>17</v>
      </c>
      <c r="D21" t="s">
        <v>13</v>
      </c>
      <c r="E21" s="6">
        <v>3</v>
      </c>
      <c r="G21" s="1">
        <v>2</v>
      </c>
      <c r="H21" t="s">
        <v>7</v>
      </c>
    </row>
    <row r="23" spans="1:8">
      <c r="A23">
        <v>6</v>
      </c>
      <c r="B23" t="s">
        <v>15</v>
      </c>
      <c r="C23" t="s">
        <v>14</v>
      </c>
      <c r="D23" t="s">
        <v>16</v>
      </c>
      <c r="E23" s="6">
        <v>4</v>
      </c>
      <c r="G23" s="1">
        <v>3</v>
      </c>
      <c r="H23" t="s">
        <v>7</v>
      </c>
    </row>
    <row r="24" spans="1:8">
      <c r="C24" t="s">
        <v>19</v>
      </c>
      <c r="D24" t="s">
        <v>16</v>
      </c>
      <c r="E24" s="6">
        <v>4</v>
      </c>
      <c r="G24" s="1">
        <v>2</v>
      </c>
      <c r="H24" t="s">
        <v>7</v>
      </c>
    </row>
    <row r="25" spans="1:8">
      <c r="C25" t="s">
        <v>11</v>
      </c>
      <c r="D25" t="s">
        <v>12</v>
      </c>
      <c r="E25" s="6">
        <v>5</v>
      </c>
      <c r="G25" s="1">
        <v>3</v>
      </c>
      <c r="H25" t="s">
        <v>7</v>
      </c>
    </row>
    <row r="26" spans="1:8">
      <c r="C26" t="s">
        <v>18</v>
      </c>
      <c r="D26" t="s">
        <v>12</v>
      </c>
      <c r="E26" s="6">
        <v>5</v>
      </c>
      <c r="G26" s="1">
        <v>3</v>
      </c>
      <c r="H26" t="s">
        <v>7</v>
      </c>
    </row>
    <row r="28" spans="1:8">
      <c r="A28">
        <v>7</v>
      </c>
      <c r="B28" t="s">
        <v>18</v>
      </c>
      <c r="C28" t="s">
        <v>15</v>
      </c>
      <c r="D28" t="s">
        <v>12</v>
      </c>
      <c r="E28" s="6">
        <v>5</v>
      </c>
      <c r="G28" s="1">
        <v>3</v>
      </c>
      <c r="H28" t="s">
        <v>7</v>
      </c>
    </row>
    <row r="29" spans="1:8">
      <c r="C29" t="s">
        <v>21</v>
      </c>
      <c r="D29" t="s">
        <v>12</v>
      </c>
      <c r="E29" s="6">
        <v>5</v>
      </c>
      <c r="G29" s="1">
        <v>3</v>
      </c>
      <c r="H29" t="s">
        <v>7</v>
      </c>
    </row>
    <row r="30" spans="1:8">
      <c r="C30" t="s">
        <v>20</v>
      </c>
      <c r="D30" t="s">
        <v>22</v>
      </c>
      <c r="E30" s="6" t="s">
        <v>41</v>
      </c>
      <c r="G30" s="1">
        <v>3</v>
      </c>
      <c r="H30" t="s">
        <v>7</v>
      </c>
    </row>
    <row r="32" spans="1:8">
      <c r="A32">
        <v>8</v>
      </c>
      <c r="B32" t="s">
        <v>17</v>
      </c>
      <c r="C32" t="s">
        <v>11</v>
      </c>
      <c r="D32" t="s">
        <v>13</v>
      </c>
      <c r="E32" s="6">
        <v>3</v>
      </c>
      <c r="G32" s="1">
        <v>2</v>
      </c>
      <c r="H32" t="s">
        <v>7</v>
      </c>
    </row>
    <row r="33" spans="1:8">
      <c r="C33" t="s">
        <v>23</v>
      </c>
      <c r="D33" t="s">
        <v>13</v>
      </c>
      <c r="E33" s="6">
        <v>3</v>
      </c>
      <c r="G33" s="1">
        <v>1</v>
      </c>
      <c r="H33" t="s">
        <v>7</v>
      </c>
    </row>
    <row r="34" spans="1:8">
      <c r="C34" t="s">
        <v>24</v>
      </c>
      <c r="D34" t="s">
        <v>22</v>
      </c>
      <c r="E34" s="6" t="s">
        <v>41</v>
      </c>
      <c r="G34" s="1">
        <v>1</v>
      </c>
      <c r="H34" t="s">
        <v>7</v>
      </c>
    </row>
    <row r="36" spans="1:8">
      <c r="A36">
        <v>9</v>
      </c>
      <c r="B36" t="s">
        <v>24</v>
      </c>
      <c r="C36" t="s">
        <v>17</v>
      </c>
      <c r="D36" t="s">
        <v>22</v>
      </c>
      <c r="E36" s="6" t="s">
        <v>41</v>
      </c>
      <c r="G36" s="1">
        <v>1</v>
      </c>
      <c r="H36" t="s">
        <v>7</v>
      </c>
    </row>
    <row r="37" spans="1:8">
      <c r="C37" t="s">
        <v>19</v>
      </c>
      <c r="D37" t="s">
        <v>22</v>
      </c>
      <c r="E37" s="6" t="s">
        <v>41</v>
      </c>
      <c r="G37" s="1">
        <v>3</v>
      </c>
      <c r="H37" t="s">
        <v>7</v>
      </c>
    </row>
    <row r="38" spans="1:8">
      <c r="C38" t="s">
        <v>25</v>
      </c>
      <c r="D38" t="s">
        <v>26</v>
      </c>
      <c r="E38" s="6">
        <v>8</v>
      </c>
      <c r="G38" s="1">
        <v>1</v>
      </c>
      <c r="H38" t="s">
        <v>7</v>
      </c>
    </row>
    <row r="40" spans="1:8">
      <c r="A40">
        <v>10</v>
      </c>
      <c r="B40" t="s">
        <v>19</v>
      </c>
      <c r="C40" t="s">
        <v>15</v>
      </c>
      <c r="D40" t="s">
        <v>16</v>
      </c>
      <c r="E40" s="6">
        <v>4</v>
      </c>
      <c r="G40" s="1">
        <v>2</v>
      </c>
      <c r="H40" t="s">
        <v>7</v>
      </c>
    </row>
    <row r="41" spans="1:8">
      <c r="C41" t="s">
        <v>27</v>
      </c>
      <c r="D41" t="s">
        <v>16</v>
      </c>
      <c r="E41" s="6">
        <v>4</v>
      </c>
      <c r="G41" s="1">
        <v>1</v>
      </c>
      <c r="H41" t="s">
        <v>7</v>
      </c>
    </row>
    <row r="42" spans="1:8">
      <c r="C42" t="s">
        <v>24</v>
      </c>
      <c r="D42" t="s">
        <v>22</v>
      </c>
      <c r="E42" s="6" t="s">
        <v>41</v>
      </c>
      <c r="G42" s="1">
        <v>3</v>
      </c>
      <c r="H42" t="s">
        <v>7</v>
      </c>
    </row>
    <row r="43" spans="1:8">
      <c r="C43" t="s">
        <v>20</v>
      </c>
      <c r="D43" t="s">
        <v>22</v>
      </c>
      <c r="E43" s="6" t="s">
        <v>41</v>
      </c>
      <c r="G43" s="1">
        <v>1</v>
      </c>
      <c r="H43" t="s">
        <v>7</v>
      </c>
    </row>
    <row r="45" spans="1:8">
      <c r="A45">
        <v>11</v>
      </c>
      <c r="B45" t="s">
        <v>20</v>
      </c>
      <c r="C45" t="s">
        <v>18</v>
      </c>
      <c r="D45" t="s">
        <v>22</v>
      </c>
      <c r="E45" s="6" t="s">
        <v>41</v>
      </c>
      <c r="G45" s="1">
        <v>3</v>
      </c>
      <c r="H45" t="s">
        <v>7</v>
      </c>
    </row>
    <row r="46" spans="1:8">
      <c r="C46" t="s">
        <v>19</v>
      </c>
      <c r="D46" t="s">
        <v>22</v>
      </c>
      <c r="E46" s="6" t="s">
        <v>41</v>
      </c>
      <c r="G46" s="1">
        <v>1</v>
      </c>
      <c r="H46" t="s">
        <v>7</v>
      </c>
    </row>
    <row r="47" spans="1:8">
      <c r="C47" t="s">
        <v>21</v>
      </c>
      <c r="D47" t="s">
        <v>28</v>
      </c>
      <c r="E47" s="6">
        <v>1</v>
      </c>
      <c r="G47" s="1">
        <v>6</v>
      </c>
      <c r="H47" t="s">
        <v>7</v>
      </c>
    </row>
    <row r="48" spans="1:8">
      <c r="C48" t="s">
        <v>27</v>
      </c>
      <c r="D48" t="s">
        <v>28</v>
      </c>
      <c r="E48" s="6">
        <v>1</v>
      </c>
      <c r="G48" s="1">
        <v>1</v>
      </c>
      <c r="H48" t="s">
        <v>7</v>
      </c>
    </row>
    <row r="50" spans="1:8">
      <c r="A50">
        <v>12</v>
      </c>
      <c r="B50" t="s">
        <v>21</v>
      </c>
      <c r="C50" t="s">
        <v>18</v>
      </c>
      <c r="D50" t="s">
        <v>12</v>
      </c>
      <c r="E50" s="6">
        <v>5</v>
      </c>
      <c r="G50" s="1">
        <v>3</v>
      </c>
      <c r="H50" t="s">
        <v>7</v>
      </c>
    </row>
    <row r="51" spans="1:8">
      <c r="C51" t="s">
        <v>20</v>
      </c>
      <c r="D51" t="s">
        <v>28</v>
      </c>
      <c r="E51" s="6">
        <v>1</v>
      </c>
      <c r="G51" s="1">
        <v>6</v>
      </c>
      <c r="H51" t="s">
        <v>7</v>
      </c>
    </row>
    <row r="52" spans="1:8">
      <c r="C52" t="s">
        <v>29</v>
      </c>
      <c r="D52" t="s">
        <v>30</v>
      </c>
      <c r="E52" s="6">
        <v>9</v>
      </c>
      <c r="G52" s="1">
        <v>5</v>
      </c>
      <c r="H52" t="s">
        <v>7</v>
      </c>
    </row>
    <row r="54" spans="1:8">
      <c r="A54">
        <v>13</v>
      </c>
      <c r="B54" t="s">
        <v>9</v>
      </c>
      <c r="C54" t="s">
        <v>0</v>
      </c>
      <c r="D54" t="s">
        <v>4</v>
      </c>
      <c r="E54" s="6">
        <v>7</v>
      </c>
      <c r="G54" s="1">
        <v>4</v>
      </c>
      <c r="H54" t="s">
        <v>7</v>
      </c>
    </row>
    <row r="55" spans="1:8">
      <c r="C55" t="s">
        <v>31</v>
      </c>
      <c r="D55" t="s">
        <v>4</v>
      </c>
      <c r="E55" s="6">
        <v>7</v>
      </c>
      <c r="G55" s="1">
        <v>5</v>
      </c>
      <c r="H55" t="s">
        <v>7</v>
      </c>
    </row>
    <row r="56" spans="1:8">
      <c r="C56" t="s">
        <v>23</v>
      </c>
      <c r="D56" t="s">
        <v>32</v>
      </c>
      <c r="E56" s="6">
        <v>2</v>
      </c>
      <c r="G56" s="1">
        <v>7</v>
      </c>
      <c r="H56" t="s">
        <v>7</v>
      </c>
    </row>
    <row r="58" spans="1:8">
      <c r="A58">
        <v>14</v>
      </c>
      <c r="B58" t="s">
        <v>23</v>
      </c>
      <c r="C58" t="s">
        <v>9</v>
      </c>
      <c r="D58" t="s">
        <v>32</v>
      </c>
      <c r="E58" s="6">
        <v>2</v>
      </c>
      <c r="G58" s="1">
        <v>7</v>
      </c>
      <c r="H58" t="s">
        <v>7</v>
      </c>
    </row>
    <row r="59" spans="1:8">
      <c r="C59" t="s">
        <v>25</v>
      </c>
      <c r="D59" t="s">
        <v>32</v>
      </c>
      <c r="E59" s="6">
        <v>2</v>
      </c>
      <c r="G59" s="1">
        <v>1</v>
      </c>
      <c r="H59" t="s">
        <v>7</v>
      </c>
    </row>
    <row r="60" spans="1:8">
      <c r="C60" t="s">
        <v>17</v>
      </c>
      <c r="D60" t="s">
        <v>13</v>
      </c>
      <c r="E60" s="6">
        <v>3</v>
      </c>
      <c r="G60" s="1">
        <v>1</v>
      </c>
      <c r="H60" t="s">
        <v>7</v>
      </c>
    </row>
    <row r="61" spans="1:8">
      <c r="C61" t="s">
        <v>33</v>
      </c>
      <c r="D61" t="s">
        <v>13</v>
      </c>
      <c r="E61" s="6">
        <v>3</v>
      </c>
      <c r="G61" s="1">
        <v>2</v>
      </c>
      <c r="H61" t="s">
        <v>7</v>
      </c>
    </row>
    <row r="63" spans="1:8">
      <c r="A63">
        <v>15</v>
      </c>
      <c r="B63" t="s">
        <v>25</v>
      </c>
      <c r="C63" t="s">
        <v>24</v>
      </c>
      <c r="D63" t="s">
        <v>26</v>
      </c>
      <c r="E63" s="6">
        <v>8</v>
      </c>
      <c r="G63" s="1">
        <v>1</v>
      </c>
      <c r="H63" t="s">
        <v>7</v>
      </c>
    </row>
    <row r="64" spans="1:8">
      <c r="C64" t="s">
        <v>34</v>
      </c>
      <c r="D64" t="s">
        <v>26</v>
      </c>
      <c r="E64" s="6">
        <v>8</v>
      </c>
      <c r="G64" s="1">
        <v>2</v>
      </c>
      <c r="H64" t="s">
        <v>7</v>
      </c>
    </row>
    <row r="65" spans="1:8">
      <c r="C65" t="s">
        <v>23</v>
      </c>
      <c r="D65" t="s">
        <v>32</v>
      </c>
      <c r="E65" s="6">
        <v>2</v>
      </c>
      <c r="G65" s="1">
        <v>1</v>
      </c>
      <c r="H65" t="s">
        <v>7</v>
      </c>
    </row>
    <row r="66" spans="1:8">
      <c r="C66" t="s">
        <v>35</v>
      </c>
      <c r="D66" t="s">
        <v>32</v>
      </c>
      <c r="E66" s="6">
        <v>2</v>
      </c>
      <c r="G66" s="1">
        <v>3</v>
      </c>
      <c r="H66" t="s">
        <v>7</v>
      </c>
    </row>
    <row r="68" spans="1:8">
      <c r="A68">
        <v>16</v>
      </c>
      <c r="B68" t="s">
        <v>31</v>
      </c>
      <c r="C68" t="s">
        <v>9</v>
      </c>
      <c r="D68" t="s">
        <v>4</v>
      </c>
      <c r="E68" s="6">
        <v>7</v>
      </c>
      <c r="G68" s="1">
        <v>5</v>
      </c>
      <c r="H68" t="s">
        <v>7</v>
      </c>
    </row>
    <row r="69" spans="1:8">
      <c r="C69" t="s">
        <v>33</v>
      </c>
      <c r="D69" t="s">
        <v>28</v>
      </c>
      <c r="E69" s="6">
        <v>1</v>
      </c>
      <c r="G69" s="1">
        <v>6</v>
      </c>
      <c r="H69" t="s">
        <v>7</v>
      </c>
    </row>
    <row r="70" spans="1:8">
      <c r="C70" t="s">
        <v>36</v>
      </c>
      <c r="D70" t="s">
        <v>30</v>
      </c>
      <c r="E70" s="6">
        <v>9</v>
      </c>
      <c r="G70" s="1">
        <v>3</v>
      </c>
      <c r="H70" t="s">
        <v>7</v>
      </c>
    </row>
    <row r="72" spans="1:8">
      <c r="A72">
        <v>17</v>
      </c>
      <c r="B72" t="s">
        <v>33</v>
      </c>
      <c r="C72" t="s">
        <v>23</v>
      </c>
      <c r="D72" t="s">
        <v>13</v>
      </c>
      <c r="E72" s="6">
        <v>3</v>
      </c>
      <c r="G72" s="1">
        <v>2</v>
      </c>
      <c r="H72" t="s">
        <v>7</v>
      </c>
    </row>
    <row r="73" spans="1:8">
      <c r="C73" t="s">
        <v>36</v>
      </c>
      <c r="D73" t="s">
        <v>13</v>
      </c>
      <c r="E73" s="6">
        <v>3</v>
      </c>
      <c r="G73" s="1">
        <v>3</v>
      </c>
      <c r="H73" t="s">
        <v>7</v>
      </c>
    </row>
    <row r="74" spans="1:8">
      <c r="C74" t="s">
        <v>31</v>
      </c>
      <c r="D74" t="s">
        <v>28</v>
      </c>
      <c r="E74" s="6">
        <v>1</v>
      </c>
      <c r="G74" s="1">
        <v>6</v>
      </c>
      <c r="H74" t="s">
        <v>7</v>
      </c>
    </row>
    <row r="75" spans="1:8">
      <c r="C75" t="s">
        <v>34</v>
      </c>
      <c r="D75" t="s">
        <v>28</v>
      </c>
      <c r="E75" s="6">
        <v>1</v>
      </c>
      <c r="G75" s="1">
        <v>1</v>
      </c>
      <c r="H75" t="s">
        <v>7</v>
      </c>
    </row>
    <row r="77" spans="1:8">
      <c r="A77">
        <v>18</v>
      </c>
      <c r="B77" t="s">
        <v>34</v>
      </c>
      <c r="C77" t="s">
        <v>25</v>
      </c>
      <c r="D77" t="s">
        <v>26</v>
      </c>
      <c r="E77" s="6">
        <v>8</v>
      </c>
      <c r="G77" s="1">
        <v>2</v>
      </c>
      <c r="H77" t="s">
        <v>7</v>
      </c>
    </row>
    <row r="78" spans="1:8">
      <c r="C78" t="s">
        <v>37</v>
      </c>
      <c r="D78" t="s">
        <v>26</v>
      </c>
      <c r="E78" s="6">
        <v>8</v>
      </c>
      <c r="G78" s="1">
        <v>3</v>
      </c>
      <c r="H78" t="s">
        <v>7</v>
      </c>
    </row>
    <row r="79" spans="1:8">
      <c r="C79" t="s">
        <v>33</v>
      </c>
      <c r="D79" t="s">
        <v>28</v>
      </c>
      <c r="E79" s="6">
        <v>1</v>
      </c>
      <c r="G79" s="1">
        <v>1</v>
      </c>
      <c r="H79" t="s">
        <v>7</v>
      </c>
    </row>
    <row r="80" spans="1:8">
      <c r="C80" t="s">
        <v>35</v>
      </c>
      <c r="D80" t="s">
        <v>28</v>
      </c>
      <c r="E80" s="6">
        <v>1</v>
      </c>
      <c r="G80" s="1">
        <v>2</v>
      </c>
      <c r="H80" t="s">
        <v>7</v>
      </c>
    </row>
    <row r="82" spans="1:8">
      <c r="A82">
        <v>19</v>
      </c>
      <c r="B82" t="s">
        <v>35</v>
      </c>
      <c r="C82" t="s">
        <v>25</v>
      </c>
      <c r="D82" t="s">
        <v>32</v>
      </c>
      <c r="E82" s="6">
        <v>2</v>
      </c>
      <c r="G82" s="1">
        <v>3</v>
      </c>
      <c r="H82" t="s">
        <v>7</v>
      </c>
    </row>
    <row r="83" spans="1:8">
      <c r="C83" t="s">
        <v>37</v>
      </c>
      <c r="D83" t="s">
        <v>32</v>
      </c>
      <c r="E83" s="6">
        <v>2</v>
      </c>
      <c r="G83" s="1">
        <v>2</v>
      </c>
      <c r="H83" t="s">
        <v>7</v>
      </c>
    </row>
    <row r="84" spans="1:8">
      <c r="C84" t="s">
        <v>34</v>
      </c>
      <c r="D84" t="s">
        <v>28</v>
      </c>
      <c r="E84" s="6">
        <v>1</v>
      </c>
      <c r="G84" s="1">
        <v>2</v>
      </c>
      <c r="H84" t="s">
        <v>7</v>
      </c>
    </row>
    <row r="85" spans="1:8">
      <c r="C85" t="s">
        <v>27</v>
      </c>
      <c r="D85" t="s">
        <v>28</v>
      </c>
      <c r="E85" s="6">
        <v>1</v>
      </c>
      <c r="G85" s="1">
        <v>2</v>
      </c>
      <c r="H85" t="s">
        <v>7</v>
      </c>
    </row>
    <row r="87" spans="1:8">
      <c r="A87">
        <v>20</v>
      </c>
      <c r="B87" t="s">
        <v>27</v>
      </c>
      <c r="C87" t="s">
        <v>19</v>
      </c>
      <c r="D87" t="s">
        <v>16</v>
      </c>
      <c r="E87" s="6">
        <v>4</v>
      </c>
      <c r="G87" s="1">
        <v>1</v>
      </c>
      <c r="H87" t="s">
        <v>7</v>
      </c>
    </row>
    <row r="88" spans="1:8">
      <c r="C88" t="s">
        <v>29</v>
      </c>
      <c r="D88" t="s">
        <v>16</v>
      </c>
      <c r="E88" s="6">
        <v>4</v>
      </c>
      <c r="G88" s="1">
        <v>2</v>
      </c>
      <c r="H88" t="s">
        <v>7</v>
      </c>
    </row>
    <row r="89" spans="1:8">
      <c r="C89" t="s">
        <v>35</v>
      </c>
      <c r="D89" t="s">
        <v>28</v>
      </c>
      <c r="E89" s="6">
        <v>1</v>
      </c>
      <c r="G89" s="1">
        <v>2</v>
      </c>
      <c r="H89" t="s">
        <v>7</v>
      </c>
    </row>
    <row r="90" spans="1:8">
      <c r="C90" t="s">
        <v>20</v>
      </c>
      <c r="D90" t="s">
        <v>28</v>
      </c>
      <c r="E90" s="6">
        <v>1</v>
      </c>
      <c r="G90" s="1">
        <v>1</v>
      </c>
      <c r="H90" t="s">
        <v>7</v>
      </c>
    </row>
    <row r="92" spans="1:8">
      <c r="A92">
        <v>21</v>
      </c>
      <c r="B92" t="s">
        <v>36</v>
      </c>
      <c r="C92" t="s">
        <v>31</v>
      </c>
      <c r="D92" t="s">
        <v>30</v>
      </c>
      <c r="E92" s="6">
        <v>9</v>
      </c>
      <c r="G92" s="1">
        <v>3</v>
      </c>
      <c r="H92" t="s">
        <v>7</v>
      </c>
    </row>
    <row r="93" spans="1:8">
      <c r="C93" t="s">
        <v>37</v>
      </c>
      <c r="D93" t="s">
        <v>30</v>
      </c>
      <c r="E93" s="6">
        <v>9</v>
      </c>
      <c r="G93" s="1">
        <v>2</v>
      </c>
      <c r="H93" t="s">
        <v>7</v>
      </c>
    </row>
    <row r="94" spans="1:8">
      <c r="C94" t="s">
        <v>33</v>
      </c>
      <c r="D94" t="s">
        <v>13</v>
      </c>
      <c r="E94" s="6">
        <v>3</v>
      </c>
      <c r="G94" s="1">
        <v>3</v>
      </c>
      <c r="H94" t="s">
        <v>7</v>
      </c>
    </row>
    <row r="96" spans="1:8">
      <c r="A96">
        <v>22</v>
      </c>
      <c r="B96" t="s">
        <v>37</v>
      </c>
      <c r="C96" t="s">
        <v>34</v>
      </c>
      <c r="D96" t="s">
        <v>26</v>
      </c>
      <c r="E96" s="6">
        <v>8</v>
      </c>
      <c r="G96" s="1">
        <v>3</v>
      </c>
      <c r="H96" t="s">
        <v>7</v>
      </c>
    </row>
    <row r="97" spans="1:8">
      <c r="C97" t="s">
        <v>38</v>
      </c>
      <c r="D97" t="s">
        <v>26</v>
      </c>
      <c r="E97" s="6">
        <v>8</v>
      </c>
      <c r="G97" s="1">
        <v>2</v>
      </c>
      <c r="H97" t="s">
        <v>7</v>
      </c>
    </row>
    <row r="98" spans="1:8">
      <c r="C98" t="s">
        <v>35</v>
      </c>
      <c r="D98" t="s">
        <v>32</v>
      </c>
      <c r="E98" s="6">
        <v>2</v>
      </c>
      <c r="G98" s="1">
        <v>2</v>
      </c>
      <c r="H98" t="s">
        <v>7</v>
      </c>
    </row>
    <row r="99" spans="1:8">
      <c r="C99" t="s">
        <v>36</v>
      </c>
      <c r="D99" t="s">
        <v>30</v>
      </c>
      <c r="E99" s="6">
        <v>9</v>
      </c>
      <c r="G99" s="1">
        <v>2</v>
      </c>
      <c r="H99" t="s">
        <v>7</v>
      </c>
    </row>
    <row r="100" spans="1:8">
      <c r="C100" t="s">
        <v>29</v>
      </c>
      <c r="D100" t="s">
        <v>30</v>
      </c>
      <c r="E100" s="6">
        <v>9</v>
      </c>
      <c r="G100" s="1">
        <v>1</v>
      </c>
      <c r="H100" t="s">
        <v>7</v>
      </c>
    </row>
    <row r="102" spans="1:8">
      <c r="A102">
        <v>23</v>
      </c>
      <c r="B102" t="s">
        <v>29</v>
      </c>
      <c r="C102" t="s">
        <v>27</v>
      </c>
      <c r="D102" t="s">
        <v>16</v>
      </c>
      <c r="E102" s="6">
        <v>4</v>
      </c>
      <c r="G102" s="1">
        <v>2</v>
      </c>
      <c r="H102" t="s">
        <v>7</v>
      </c>
    </row>
    <row r="103" spans="1:8">
      <c r="C103" t="s">
        <v>38</v>
      </c>
      <c r="D103" t="s">
        <v>16</v>
      </c>
      <c r="E103" s="6">
        <v>4</v>
      </c>
      <c r="G103" s="1">
        <v>1</v>
      </c>
      <c r="H103" t="s">
        <v>7</v>
      </c>
    </row>
    <row r="104" spans="1:8">
      <c r="C104" t="s">
        <v>37</v>
      </c>
      <c r="D104" t="s">
        <v>30</v>
      </c>
      <c r="E104" s="6">
        <v>9</v>
      </c>
      <c r="G104" s="1">
        <v>1</v>
      </c>
      <c r="H104" t="s">
        <v>7</v>
      </c>
    </row>
    <row r="105" spans="1:8">
      <c r="C105" t="s">
        <v>21</v>
      </c>
      <c r="D105" t="s">
        <v>30</v>
      </c>
      <c r="E105" s="6">
        <v>9</v>
      </c>
      <c r="G105" s="1">
        <v>5</v>
      </c>
      <c r="H105" t="s">
        <v>7</v>
      </c>
    </row>
    <row r="107" spans="1:8">
      <c r="A107">
        <v>24</v>
      </c>
      <c r="B107" t="s">
        <v>38</v>
      </c>
      <c r="C107" t="s">
        <v>29</v>
      </c>
      <c r="D107" t="s">
        <v>16</v>
      </c>
      <c r="E107" s="6">
        <v>4</v>
      </c>
      <c r="G107" s="1">
        <v>1</v>
      </c>
      <c r="H107" t="s">
        <v>7</v>
      </c>
    </row>
    <row r="108" spans="1:8">
      <c r="C108" t="s">
        <v>37</v>
      </c>
      <c r="D108" t="s">
        <v>26</v>
      </c>
      <c r="E108" s="6">
        <v>8</v>
      </c>
      <c r="G108" s="1">
        <v>2</v>
      </c>
      <c r="H108" t="s">
        <v>7</v>
      </c>
    </row>
  </sheetData>
  <phoneticPr fontId="2" type="noConversion"/>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Hoja2"/>
  <dimension ref="B1:I148"/>
  <sheetViews>
    <sheetView workbookViewId="0">
      <selection activeCell="F8" sqref="F8"/>
    </sheetView>
  </sheetViews>
  <sheetFormatPr baseColWidth="10" defaultRowHeight="15"/>
  <cols>
    <col min="2" max="2" width="4" bestFit="1" customWidth="1"/>
    <col min="3" max="3" width="31.28515625" bestFit="1" customWidth="1"/>
    <col min="4" max="4" width="35.140625" bestFit="1" customWidth="1"/>
    <col min="5" max="5" width="7.85546875" customWidth="1"/>
    <col min="6" max="6" width="13" bestFit="1" customWidth="1"/>
    <col min="7" max="7" width="21" bestFit="1" customWidth="1"/>
    <col min="8" max="8" width="17.85546875" bestFit="1" customWidth="1"/>
  </cols>
  <sheetData>
    <row r="1" spans="2:9">
      <c r="B1" s="2" t="s">
        <v>50</v>
      </c>
      <c r="C1" s="11" t="s">
        <v>1</v>
      </c>
      <c r="D1" s="11"/>
      <c r="F1" s="9" t="s">
        <v>166</v>
      </c>
      <c r="G1" s="9" t="s">
        <v>167</v>
      </c>
      <c r="H1" s="9" t="s">
        <v>168</v>
      </c>
    </row>
    <row r="2" spans="2:9">
      <c r="B2">
        <v>142</v>
      </c>
      <c r="C2" s="15" t="s">
        <v>159</v>
      </c>
      <c r="D2" t="str">
        <f>CONCATENATE(B2,"    ",C2)</f>
        <v>142    Acatitla</v>
      </c>
      <c r="F2" t="s">
        <v>42</v>
      </c>
      <c r="G2" t="s">
        <v>169</v>
      </c>
      <c r="H2" t="s">
        <v>178</v>
      </c>
    </row>
    <row r="3" spans="2:9">
      <c r="B3">
        <v>130</v>
      </c>
      <c r="C3" s="15" t="s">
        <v>151</v>
      </c>
      <c r="D3" t="str">
        <f t="shared" ref="D3:D66" si="0">CONCATENATE(B3,"    ",C3)</f>
        <v>130    Aculco</v>
      </c>
      <c r="E3" s="9"/>
      <c r="F3" t="s">
        <v>43</v>
      </c>
      <c r="G3" t="s">
        <v>170</v>
      </c>
      <c r="H3" t="s">
        <v>181</v>
      </c>
    </row>
    <row r="4" spans="2:9">
      <c r="B4">
        <v>137</v>
      </c>
      <c r="C4" s="15" t="s">
        <v>344</v>
      </c>
      <c r="D4" t="str">
        <f t="shared" si="0"/>
        <v>137    Agrícola Oriental</v>
      </c>
      <c r="F4" t="s">
        <v>44</v>
      </c>
      <c r="G4" t="s">
        <v>171</v>
      </c>
      <c r="H4" t="s">
        <v>180</v>
      </c>
    </row>
    <row r="5" spans="2:9">
      <c r="B5">
        <v>77</v>
      </c>
      <c r="C5" s="15" t="s">
        <v>115</v>
      </c>
      <c r="D5" t="str">
        <f t="shared" si="0"/>
        <v>77    Allende</v>
      </c>
      <c r="F5" t="s">
        <v>45</v>
      </c>
      <c r="G5" t="s">
        <v>172</v>
      </c>
      <c r="H5" t="s">
        <v>179</v>
      </c>
    </row>
    <row r="6" spans="2:9">
      <c r="B6">
        <v>129</v>
      </c>
      <c r="C6" s="15" t="s">
        <v>150</v>
      </c>
      <c r="D6" t="str">
        <f t="shared" si="0"/>
        <v>129    Apatlaco</v>
      </c>
      <c r="F6" t="s">
        <v>4303</v>
      </c>
      <c r="G6" t="s">
        <v>173</v>
      </c>
      <c r="H6" t="s">
        <v>178</v>
      </c>
    </row>
    <row r="7" spans="2:9">
      <c r="B7">
        <v>32</v>
      </c>
      <c r="C7" s="15" t="s">
        <v>78</v>
      </c>
      <c r="D7" t="str">
        <f t="shared" si="0"/>
        <v>32    Aquiles Serdán</v>
      </c>
      <c r="F7" t="s">
        <v>4302</v>
      </c>
      <c r="G7" t="s">
        <v>174</v>
      </c>
      <c r="H7" t="s">
        <v>172</v>
      </c>
    </row>
    <row r="8" spans="2:9">
      <c r="B8">
        <v>48</v>
      </c>
      <c r="C8" s="15" t="s">
        <v>329</v>
      </c>
      <c r="D8" t="str">
        <f t="shared" si="0"/>
        <v>48    Aragón</v>
      </c>
      <c r="F8" t="s">
        <v>46</v>
      </c>
      <c r="G8" t="s">
        <v>174</v>
      </c>
      <c r="H8" t="s">
        <v>169</v>
      </c>
    </row>
    <row r="9" spans="2:9">
      <c r="B9">
        <v>132</v>
      </c>
      <c r="C9" s="15" t="s">
        <v>152</v>
      </c>
      <c r="D9" t="str">
        <f t="shared" si="0"/>
        <v>132    Atlalilco</v>
      </c>
      <c r="F9" t="s">
        <v>47</v>
      </c>
      <c r="G9" t="s">
        <v>175</v>
      </c>
      <c r="H9" t="s">
        <v>179</v>
      </c>
    </row>
    <row r="10" spans="2:9">
      <c r="B10">
        <v>37</v>
      </c>
      <c r="C10" s="15" t="s">
        <v>82</v>
      </c>
      <c r="D10" t="str">
        <f t="shared" si="0"/>
        <v>37    Auditorio</v>
      </c>
      <c r="F10" t="s">
        <v>48</v>
      </c>
      <c r="G10" t="s">
        <v>169</v>
      </c>
      <c r="H10" t="s">
        <v>178</v>
      </c>
    </row>
    <row r="11" spans="2:9">
      <c r="B11">
        <v>44</v>
      </c>
      <c r="C11" s="15" t="s">
        <v>87</v>
      </c>
      <c r="D11" t="str">
        <f t="shared" si="0"/>
        <v>44    Autobuses del Norte</v>
      </c>
      <c r="F11" t="s">
        <v>4304</v>
      </c>
      <c r="G11" t="s">
        <v>178</v>
      </c>
      <c r="H11" t="s">
        <v>182</v>
      </c>
    </row>
    <row r="12" spans="2:9">
      <c r="B12">
        <v>26</v>
      </c>
      <c r="C12" s="15" t="s">
        <v>74</v>
      </c>
      <c r="D12" t="str">
        <f t="shared" si="0"/>
        <v>26    Azcapotzalco</v>
      </c>
      <c r="F12" t="s">
        <v>49</v>
      </c>
      <c r="G12" t="s">
        <v>176</v>
      </c>
      <c r="H12" t="s">
        <v>177</v>
      </c>
    </row>
    <row r="13" spans="2:9">
      <c r="B13">
        <v>112</v>
      </c>
      <c r="C13" s="15" t="s">
        <v>137</v>
      </c>
      <c r="D13" t="str">
        <f t="shared" si="0"/>
        <v>112    Balbuena</v>
      </c>
    </row>
    <row r="14" spans="2:9">
      <c r="B14">
        <v>17</v>
      </c>
      <c r="C14" s="15" t="s">
        <v>33</v>
      </c>
      <c r="D14" t="str">
        <f t="shared" si="0"/>
        <v>17    Balderas</v>
      </c>
      <c r="F14" t="s">
        <v>50</v>
      </c>
      <c r="G14" t="s">
        <v>384</v>
      </c>
      <c r="H14" t="s">
        <v>358</v>
      </c>
    </row>
    <row r="15" spans="2:9">
      <c r="B15">
        <v>42</v>
      </c>
      <c r="C15" s="15" t="s">
        <v>86</v>
      </c>
      <c r="D15" t="str">
        <f t="shared" si="0"/>
        <v>42    Barranca del Muerto</v>
      </c>
      <c r="F15">
        <v>1</v>
      </c>
      <c r="G15">
        <v>1</v>
      </c>
      <c r="H15" t="s">
        <v>28</v>
      </c>
      <c r="I15" s="8" t="str">
        <f>CONCATENATE(F15,"    Linea ",G15,"     ",H15)</f>
        <v>1    Linea 1     Rosa</v>
      </c>
    </row>
    <row r="16" spans="2:9">
      <c r="B16">
        <v>15</v>
      </c>
      <c r="C16" s="15" t="s">
        <v>25</v>
      </c>
      <c r="D16" t="str">
        <f t="shared" si="0"/>
        <v>15    Bellas Artes</v>
      </c>
      <c r="F16">
        <v>2</v>
      </c>
      <c r="G16">
        <v>2</v>
      </c>
      <c r="H16" t="s">
        <v>32</v>
      </c>
      <c r="I16" s="8" t="str">
        <f t="shared" ref="I16:I25" si="1">CONCATENATE(F16,"    Linea ",G16,"     ",H16)</f>
        <v>2    Linea 2     Azul</v>
      </c>
    </row>
    <row r="17" spans="2:9">
      <c r="B17">
        <v>66</v>
      </c>
      <c r="C17" s="15" t="s">
        <v>105</v>
      </c>
      <c r="D17" t="str">
        <f t="shared" si="0"/>
        <v>66    Bondojito</v>
      </c>
      <c r="F17">
        <v>3</v>
      </c>
      <c r="G17">
        <v>3</v>
      </c>
      <c r="H17" t="s">
        <v>13</v>
      </c>
      <c r="I17" s="8" t="str">
        <f t="shared" si="1"/>
        <v>3    Linea 3     Verde</v>
      </c>
    </row>
    <row r="18" spans="2:9">
      <c r="B18">
        <v>93</v>
      </c>
      <c r="C18" s="15" t="s">
        <v>335</v>
      </c>
      <c r="D18" t="str">
        <f t="shared" si="0"/>
        <v>93    Bosque de Aragón</v>
      </c>
      <c r="F18">
        <v>4</v>
      </c>
      <c r="G18">
        <v>4</v>
      </c>
      <c r="H18" t="s">
        <v>16</v>
      </c>
      <c r="I18" s="8" t="str">
        <f t="shared" si="1"/>
        <v>4    Linea 4     Agua</v>
      </c>
    </row>
    <row r="19" spans="2:9">
      <c r="B19">
        <v>113</v>
      </c>
      <c r="C19" s="15" t="s">
        <v>339</v>
      </c>
      <c r="D19" t="str">
        <f t="shared" si="0"/>
        <v>113    Boulevard Puerto Aéreo</v>
      </c>
      <c r="F19">
        <v>5</v>
      </c>
      <c r="G19">
        <v>5</v>
      </c>
      <c r="H19" t="s">
        <v>4298</v>
      </c>
      <c r="I19" s="8" t="str">
        <f t="shared" si="1"/>
        <v>5    Linea 5     Amarilla</v>
      </c>
    </row>
    <row r="20" spans="2:9">
      <c r="B20">
        <v>87</v>
      </c>
      <c r="C20" s="15" t="s">
        <v>123</v>
      </c>
      <c r="D20" t="str">
        <f t="shared" si="0"/>
        <v>87    Buenavista</v>
      </c>
      <c r="F20">
        <v>6</v>
      </c>
      <c r="G20">
        <v>6</v>
      </c>
      <c r="H20" t="s">
        <v>4299</v>
      </c>
      <c r="I20" s="8" t="str">
        <f t="shared" si="1"/>
        <v>6    Linea 6     Roja</v>
      </c>
    </row>
    <row r="21" spans="2:9">
      <c r="B21">
        <v>33</v>
      </c>
      <c r="C21" s="15" t="s">
        <v>79</v>
      </c>
      <c r="D21" t="str">
        <f t="shared" si="0"/>
        <v>33    Camarones</v>
      </c>
      <c r="F21">
        <v>7</v>
      </c>
      <c r="G21">
        <v>7</v>
      </c>
      <c r="H21" t="s">
        <v>4</v>
      </c>
      <c r="I21" s="8" t="str">
        <f t="shared" si="1"/>
        <v>7    Linea 7     Naranja</v>
      </c>
    </row>
    <row r="22" spans="2:9">
      <c r="B22">
        <v>138</v>
      </c>
      <c r="C22" s="15" t="s">
        <v>345</v>
      </c>
      <c r="D22" t="str">
        <f t="shared" si="0"/>
        <v>138    Canal de San Juan</v>
      </c>
      <c r="F22">
        <v>8</v>
      </c>
      <c r="G22">
        <v>8</v>
      </c>
      <c r="H22" t="s">
        <v>26</v>
      </c>
      <c r="I22" s="8" t="str">
        <f t="shared" si="1"/>
        <v>8    Linea 8     Verde C</v>
      </c>
    </row>
    <row r="23" spans="2:9">
      <c r="B23">
        <v>67</v>
      </c>
      <c r="C23" s="15" t="s">
        <v>106</v>
      </c>
      <c r="D23" t="str">
        <f t="shared" si="0"/>
        <v>67    Canal del Norte</v>
      </c>
      <c r="F23">
        <v>9</v>
      </c>
      <c r="G23">
        <v>9</v>
      </c>
      <c r="H23" t="s">
        <v>30</v>
      </c>
      <c r="I23" s="8" t="str">
        <f t="shared" si="1"/>
        <v>9    Linea 9     Café</v>
      </c>
    </row>
    <row r="24" spans="2:9">
      <c r="B24">
        <v>20</v>
      </c>
      <c r="C24" s="15" t="s">
        <v>27</v>
      </c>
      <c r="D24" t="str">
        <f t="shared" si="0"/>
        <v>20    Candelaria</v>
      </c>
      <c r="F24">
        <v>10</v>
      </c>
      <c r="G24" t="s">
        <v>349</v>
      </c>
      <c r="H24" t="s">
        <v>4300</v>
      </c>
      <c r="I24" s="8" t="str">
        <f t="shared" si="1"/>
        <v>10    Linea A     Morada</v>
      </c>
    </row>
    <row r="25" spans="2:9">
      <c r="B25">
        <v>21</v>
      </c>
      <c r="C25" s="15" t="s">
        <v>36</v>
      </c>
      <c r="D25" t="str">
        <f t="shared" si="0"/>
        <v>21    Centro Medico</v>
      </c>
      <c r="F25">
        <v>11</v>
      </c>
      <c r="G25" t="s">
        <v>41</v>
      </c>
      <c r="H25" t="s">
        <v>22</v>
      </c>
      <c r="I25" s="8" t="str">
        <f t="shared" si="1"/>
        <v>11    Linea B     Gris</v>
      </c>
    </row>
    <row r="26" spans="2:9">
      <c r="B26">
        <v>134</v>
      </c>
      <c r="C26" s="15" t="s">
        <v>154</v>
      </c>
      <c r="D26" t="str">
        <f t="shared" si="0"/>
        <v>134    Cerro de la Estrella</v>
      </c>
    </row>
    <row r="27" spans="2:9">
      <c r="B27">
        <v>22</v>
      </c>
      <c r="C27" s="15" t="s">
        <v>37</v>
      </c>
      <c r="D27" t="str">
        <f t="shared" si="0"/>
        <v>22    Chabacano</v>
      </c>
    </row>
    <row r="28" spans="2:9">
      <c r="B28">
        <v>105</v>
      </c>
      <c r="C28" s="15" t="s">
        <v>131</v>
      </c>
      <c r="D28" t="str">
        <f t="shared" si="0"/>
        <v>105    Chapultepec</v>
      </c>
    </row>
    <row r="29" spans="2:9">
      <c r="B29">
        <v>117</v>
      </c>
      <c r="C29" s="15" t="s">
        <v>141</v>
      </c>
      <c r="D29" t="str">
        <f t="shared" si="0"/>
        <v>117    Chilpancingo</v>
      </c>
    </row>
    <row r="30" spans="2:9">
      <c r="B30">
        <v>102</v>
      </c>
      <c r="C30" s="15" t="s">
        <v>129</v>
      </c>
      <c r="D30" t="str">
        <f t="shared" si="0"/>
        <v>102    Ciudad Azteca</v>
      </c>
    </row>
    <row r="31" spans="2:9">
      <c r="B31">
        <v>121</v>
      </c>
      <c r="C31" s="15" t="s">
        <v>143</v>
      </c>
      <c r="D31" t="str">
        <f t="shared" si="0"/>
        <v>121    Ciudad Deportiva</v>
      </c>
    </row>
    <row r="32" spans="2:9">
      <c r="B32">
        <v>73</v>
      </c>
      <c r="C32" s="15" t="s">
        <v>111</v>
      </c>
      <c r="D32" t="str">
        <f t="shared" si="0"/>
        <v>73    Colegio Militar</v>
      </c>
    </row>
    <row r="33" spans="2:4">
      <c r="B33">
        <v>136</v>
      </c>
      <c r="C33" s="15" t="s">
        <v>156</v>
      </c>
      <c r="D33" t="str">
        <f t="shared" si="0"/>
        <v>136    Constitución de 1917</v>
      </c>
    </row>
    <row r="34" spans="2:4">
      <c r="B34">
        <v>38</v>
      </c>
      <c r="C34" s="15" t="s">
        <v>83</v>
      </c>
      <c r="D34" t="str">
        <f t="shared" si="0"/>
        <v>38    Constituyentes</v>
      </c>
    </row>
    <row r="35" spans="2:4">
      <c r="B35">
        <v>6</v>
      </c>
      <c r="C35" s="15" t="s">
        <v>15</v>
      </c>
      <c r="D35" t="str">
        <f t="shared" si="0"/>
        <v>6    Consulado</v>
      </c>
    </row>
    <row r="36" spans="2:4">
      <c r="B36">
        <v>63</v>
      </c>
      <c r="C36" s="15" t="s">
        <v>103</v>
      </c>
      <c r="D36" t="str">
        <f t="shared" si="0"/>
        <v>63    Copilco</v>
      </c>
    </row>
    <row r="37" spans="2:4">
      <c r="B37">
        <v>60</v>
      </c>
      <c r="C37" s="15" t="s">
        <v>100</v>
      </c>
      <c r="D37" t="str">
        <f t="shared" si="0"/>
        <v>60    Coyoacán</v>
      </c>
    </row>
    <row r="38" spans="2:4">
      <c r="B38">
        <v>127</v>
      </c>
      <c r="C38" s="15" t="s">
        <v>148</v>
      </c>
      <c r="D38" t="str">
        <f t="shared" si="0"/>
        <v>127    Coyuya</v>
      </c>
    </row>
    <row r="39" spans="2:4">
      <c r="B39">
        <v>69</v>
      </c>
      <c r="C39" s="15" t="s">
        <v>108</v>
      </c>
      <c r="D39" t="str">
        <f t="shared" si="0"/>
        <v>69    Cuatro Caminos</v>
      </c>
    </row>
    <row r="40" spans="2:4">
      <c r="B40">
        <v>108</v>
      </c>
      <c r="C40" s="15" t="s">
        <v>3733</v>
      </c>
      <c r="D40" t="str">
        <f t="shared" si="0"/>
        <v>108    Cuauhtémoc</v>
      </c>
    </row>
    <row r="41" spans="2:4">
      <c r="B41">
        <v>71</v>
      </c>
      <c r="C41" s="15" t="s">
        <v>3734</v>
      </c>
      <c r="D41" t="str">
        <f t="shared" si="0"/>
        <v>71    Cuitláhuac</v>
      </c>
    </row>
    <row r="42" spans="2:4">
      <c r="B42">
        <v>3</v>
      </c>
      <c r="C42" s="15" t="s">
        <v>10</v>
      </c>
      <c r="D42" t="str">
        <f t="shared" si="0"/>
        <v>3    Deportivo 18 marzo</v>
      </c>
    </row>
    <row r="43" spans="2:4">
      <c r="B43">
        <v>92</v>
      </c>
      <c r="C43" s="15" t="s">
        <v>334</v>
      </c>
      <c r="D43" t="str">
        <f t="shared" si="0"/>
        <v>92    Deportivo Oceanía</v>
      </c>
    </row>
    <row r="44" spans="2:4">
      <c r="B44">
        <v>59</v>
      </c>
      <c r="C44" s="15" t="s">
        <v>99</v>
      </c>
      <c r="D44" t="str">
        <f t="shared" si="0"/>
        <v>59    División del Norte</v>
      </c>
    </row>
    <row r="45" spans="2:4">
      <c r="B45">
        <v>124</v>
      </c>
      <c r="C45" s="15" t="s">
        <v>145</v>
      </c>
      <c r="D45" t="str">
        <f t="shared" si="0"/>
        <v>124    Doctores</v>
      </c>
    </row>
    <row r="46" spans="2:4">
      <c r="B46">
        <v>99</v>
      </c>
      <c r="C46" s="15" t="s">
        <v>128</v>
      </c>
      <c r="D46" t="str">
        <f t="shared" si="0"/>
        <v>99    Ecatepec</v>
      </c>
    </row>
    <row r="47" spans="2:4">
      <c r="B47">
        <v>47</v>
      </c>
      <c r="C47" s="15" t="s">
        <v>328</v>
      </c>
      <c r="D47" t="str">
        <f t="shared" si="0"/>
        <v>47    Eduardo Molina</v>
      </c>
    </row>
    <row r="48" spans="2:4">
      <c r="B48">
        <v>147</v>
      </c>
      <c r="C48" s="15" t="s">
        <v>423</v>
      </c>
      <c r="D48" t="str">
        <f t="shared" si="0"/>
        <v>147    Ermita</v>
      </c>
    </row>
    <row r="49" spans="2:4">
      <c r="B49">
        <v>131</v>
      </c>
      <c r="C49" s="15" t="s">
        <v>343</v>
      </c>
      <c r="D49" t="str">
        <f t="shared" si="0"/>
        <v>131    Escuadrón 201</v>
      </c>
    </row>
    <row r="50" spans="2:4">
      <c r="B50">
        <v>57</v>
      </c>
      <c r="C50" s="15" t="s">
        <v>97</v>
      </c>
      <c r="D50" t="str">
        <f t="shared" si="0"/>
        <v>57    Etiopia / Plaza de la Transparencia</v>
      </c>
    </row>
    <row r="51" spans="2:4">
      <c r="B51">
        <v>58</v>
      </c>
      <c r="C51" s="15" t="s">
        <v>98</v>
      </c>
      <c r="D51" t="str">
        <f t="shared" si="0"/>
        <v>58    Eugenia</v>
      </c>
    </row>
    <row r="52" spans="2:4">
      <c r="B52">
        <v>27</v>
      </c>
      <c r="C52" s="15" t="s">
        <v>324</v>
      </c>
      <c r="D52" t="str">
        <f t="shared" si="0"/>
        <v>27    Ferrería</v>
      </c>
    </row>
    <row r="53" spans="2:4">
      <c r="B53">
        <v>90</v>
      </c>
      <c r="C53" s="15" t="s">
        <v>3735</v>
      </c>
      <c r="D53" t="str">
        <f t="shared" si="0"/>
        <v>90    Flores Magón</v>
      </c>
    </row>
    <row r="54" spans="2:4">
      <c r="B54">
        <v>68</v>
      </c>
      <c r="C54" s="15" t="s">
        <v>107</v>
      </c>
      <c r="D54" t="str">
        <f t="shared" si="0"/>
        <v>68    Fray Servando</v>
      </c>
    </row>
    <row r="55" spans="2:4">
      <c r="B55">
        <v>9</v>
      </c>
      <c r="C55" s="15" t="s">
        <v>24</v>
      </c>
      <c r="D55" t="str">
        <f t="shared" si="0"/>
        <v>9    Garibaldi</v>
      </c>
    </row>
    <row r="56" spans="2:4">
      <c r="B56">
        <v>85</v>
      </c>
      <c r="C56" s="15" t="s">
        <v>121</v>
      </c>
      <c r="D56" t="str">
        <f t="shared" si="0"/>
        <v>85    General Anaya</v>
      </c>
    </row>
    <row r="57" spans="2:4">
      <c r="B57">
        <v>114</v>
      </c>
      <c r="C57" s="15" t="s">
        <v>138</v>
      </c>
      <c r="D57" t="str">
        <f t="shared" si="0"/>
        <v>114    Gomez Farias</v>
      </c>
    </row>
    <row r="58" spans="2:4">
      <c r="B58">
        <v>140</v>
      </c>
      <c r="C58" s="15" t="s">
        <v>158</v>
      </c>
      <c r="D58" t="str">
        <f t="shared" si="0"/>
        <v>140    Guelatao</v>
      </c>
    </row>
    <row r="59" spans="2:4">
      <c r="B59">
        <v>8</v>
      </c>
      <c r="C59" s="15" t="s">
        <v>17</v>
      </c>
      <c r="D59" t="str">
        <f t="shared" si="0"/>
        <v>8    Guerrero</v>
      </c>
    </row>
    <row r="60" spans="2:4">
      <c r="B60">
        <v>50</v>
      </c>
      <c r="C60" s="15" t="s">
        <v>91</v>
      </c>
      <c r="D60" t="str">
        <f t="shared" si="0"/>
        <v>50    Hangares</v>
      </c>
    </row>
    <row r="61" spans="2:4">
      <c r="B61">
        <v>14</v>
      </c>
      <c r="C61" s="15" t="s">
        <v>23</v>
      </c>
      <c r="D61" t="str">
        <f t="shared" si="0"/>
        <v>14    Hidalgo</v>
      </c>
    </row>
    <row r="62" spans="2:4">
      <c r="B62">
        <v>56</v>
      </c>
      <c r="C62" s="15" t="s">
        <v>96</v>
      </c>
      <c r="D62" t="str">
        <f t="shared" si="0"/>
        <v>56    Hospital General</v>
      </c>
    </row>
    <row r="63" spans="2:4">
      <c r="B63">
        <v>96</v>
      </c>
      <c r="C63" s="15" t="s">
        <v>126</v>
      </c>
      <c r="D63" t="str">
        <f t="shared" si="0"/>
        <v>96    Impulsora</v>
      </c>
    </row>
    <row r="64" spans="2:4">
      <c r="B64">
        <v>51</v>
      </c>
      <c r="C64" s="15" t="s">
        <v>92</v>
      </c>
      <c r="D64" t="str">
        <f t="shared" si="0"/>
        <v>51    Indios Verdes</v>
      </c>
    </row>
    <row r="65" spans="2:4">
      <c r="B65">
        <v>2</v>
      </c>
      <c r="C65" s="15" t="s">
        <v>3736</v>
      </c>
      <c r="D65" t="str">
        <f t="shared" si="0"/>
        <v>2    Inst. Petróleo</v>
      </c>
    </row>
    <row r="66" spans="2:4">
      <c r="B66">
        <v>107</v>
      </c>
      <c r="C66" s="15" t="s">
        <v>133</v>
      </c>
      <c r="D66" t="str">
        <f t="shared" si="0"/>
        <v>107    Insurgentes</v>
      </c>
    </row>
    <row r="67" spans="2:4">
      <c r="B67">
        <v>109</v>
      </c>
      <c r="C67" s="15" t="s">
        <v>134</v>
      </c>
      <c r="D67" t="str">
        <f t="shared" ref="D67:D130" si="2">CONCATENATE(B67,"    ",C67)</f>
        <v>109    Isabel la Católica</v>
      </c>
    </row>
    <row r="68" spans="2:4">
      <c r="B68">
        <v>128</v>
      </c>
      <c r="C68" s="15" t="s">
        <v>149</v>
      </c>
      <c r="D68" t="str">
        <f t="shared" si="2"/>
        <v>128    Iztacalco</v>
      </c>
    </row>
    <row r="69" spans="2:4">
      <c r="B69">
        <v>133</v>
      </c>
      <c r="C69" s="15" t="s">
        <v>153</v>
      </c>
      <c r="D69" t="str">
        <f t="shared" si="2"/>
        <v>133    Iztapalapa</v>
      </c>
    </row>
    <row r="70" spans="2:4">
      <c r="B70">
        <v>23</v>
      </c>
      <c r="C70" s="15" t="s">
        <v>29</v>
      </c>
      <c r="D70" t="str">
        <f t="shared" si="2"/>
        <v>23    Jamaica</v>
      </c>
    </row>
    <row r="71" spans="2:4">
      <c r="B71">
        <v>104</v>
      </c>
      <c r="C71" s="15" t="s">
        <v>3737</v>
      </c>
      <c r="D71" t="str">
        <f t="shared" si="2"/>
        <v>104    Juanacatlán</v>
      </c>
    </row>
    <row r="72" spans="2:4">
      <c r="B72">
        <v>54</v>
      </c>
      <c r="C72" s="15" t="s">
        <v>95</v>
      </c>
      <c r="D72" t="str">
        <f t="shared" si="2"/>
        <v>54    Juarez</v>
      </c>
    </row>
    <row r="73" spans="2:4">
      <c r="B73">
        <v>145</v>
      </c>
      <c r="C73" s="15" t="s">
        <v>162</v>
      </c>
      <c r="D73" t="str">
        <f t="shared" si="2"/>
        <v>145    La Paz</v>
      </c>
    </row>
    <row r="74" spans="2:4">
      <c r="B74">
        <v>5</v>
      </c>
      <c r="C74" s="15" t="s">
        <v>11</v>
      </c>
      <c r="D74" t="str">
        <f t="shared" si="2"/>
        <v>5    La Raza</v>
      </c>
    </row>
    <row r="75" spans="2:4">
      <c r="B75">
        <v>126</v>
      </c>
      <c r="C75" s="15" t="s">
        <v>147</v>
      </c>
      <c r="D75" t="str">
        <f t="shared" si="2"/>
        <v>126    La Viga</v>
      </c>
    </row>
    <row r="76" spans="2:4">
      <c r="B76">
        <v>31</v>
      </c>
      <c r="C76" s="15" t="s">
        <v>325</v>
      </c>
      <c r="D76" t="str">
        <f t="shared" si="2"/>
        <v>31    La Villa / Basílica</v>
      </c>
    </row>
    <row r="77" spans="2:4">
      <c r="B77">
        <v>88</v>
      </c>
      <c r="C77" s="15" t="s">
        <v>124</v>
      </c>
      <c r="D77" t="str">
        <f t="shared" si="2"/>
        <v>88    Lagunilla</v>
      </c>
    </row>
    <row r="78" spans="2:4">
      <c r="B78">
        <v>118</v>
      </c>
      <c r="C78" s="15" t="s">
        <v>3738</v>
      </c>
      <c r="D78" t="str">
        <f t="shared" si="2"/>
        <v>118    Lázaro cardenas</v>
      </c>
    </row>
    <row r="79" spans="2:4">
      <c r="B79">
        <v>30</v>
      </c>
      <c r="C79" s="15" t="s">
        <v>77</v>
      </c>
      <c r="D79" t="str">
        <f t="shared" si="2"/>
        <v>30    Lindavista</v>
      </c>
    </row>
    <row r="80" spans="2:4">
      <c r="B80">
        <v>144</v>
      </c>
      <c r="C80" s="15" t="s">
        <v>161</v>
      </c>
      <c r="D80" t="str">
        <f t="shared" si="2"/>
        <v>144    Los Reyes</v>
      </c>
    </row>
    <row r="81" spans="2:4">
      <c r="B81">
        <v>4</v>
      </c>
      <c r="C81" s="15" t="s">
        <v>14</v>
      </c>
      <c r="D81" t="str">
        <f t="shared" si="2"/>
        <v>4    Martin Carrera</v>
      </c>
    </row>
    <row r="82" spans="2:4">
      <c r="B82">
        <v>110</v>
      </c>
      <c r="C82" s="15" t="s">
        <v>135</v>
      </c>
      <c r="D82" t="str">
        <f t="shared" si="2"/>
        <v>110    Merced</v>
      </c>
    </row>
    <row r="83" spans="2:4">
      <c r="B83">
        <v>62</v>
      </c>
      <c r="C83" s="15" t="s">
        <v>102</v>
      </c>
      <c r="D83" t="str">
        <f t="shared" si="2"/>
        <v>62    Miguel Ángel de Quevedo</v>
      </c>
    </row>
    <row r="84" spans="2:4">
      <c r="B84">
        <v>45</v>
      </c>
      <c r="C84" s="15" t="s">
        <v>88</v>
      </c>
      <c r="D84" t="str">
        <f t="shared" si="2"/>
        <v>45    Misterios</v>
      </c>
    </row>
    <row r="85" spans="2:4">
      <c r="B85">
        <v>41</v>
      </c>
      <c r="C85" s="15" t="s">
        <v>163</v>
      </c>
      <c r="D85" t="str">
        <f t="shared" si="2"/>
        <v>41    Mixcoac</v>
      </c>
    </row>
    <row r="86" spans="2:4">
      <c r="B86">
        <v>119</v>
      </c>
      <c r="C86" s="15" t="s">
        <v>142</v>
      </c>
      <c r="D86" t="str">
        <f t="shared" si="2"/>
        <v>119    Mixiuhca</v>
      </c>
    </row>
    <row r="87" spans="2:4">
      <c r="B87">
        <v>111</v>
      </c>
      <c r="C87" s="15" t="s">
        <v>136</v>
      </c>
      <c r="D87" t="str">
        <f t="shared" si="2"/>
        <v>111    Moctezuma</v>
      </c>
    </row>
    <row r="88" spans="2:4">
      <c r="B88">
        <v>10</v>
      </c>
      <c r="C88" s="15" t="s">
        <v>19</v>
      </c>
      <c r="D88" t="str">
        <f t="shared" si="2"/>
        <v>10    Morelos</v>
      </c>
    </row>
    <row r="89" spans="2:4">
      <c r="B89">
        <v>98</v>
      </c>
      <c r="C89" s="15" t="s">
        <v>3739</v>
      </c>
      <c r="D89" t="str">
        <f t="shared" si="2"/>
        <v>98    Múzquiz</v>
      </c>
    </row>
    <row r="90" spans="2:4">
      <c r="B90">
        <v>83</v>
      </c>
      <c r="C90" s="15" t="s">
        <v>119</v>
      </c>
      <c r="D90" t="str">
        <f t="shared" si="2"/>
        <v>83    Nativitas</v>
      </c>
    </row>
    <row r="91" spans="2:4">
      <c r="B91">
        <v>95</v>
      </c>
      <c r="C91" s="15" t="s">
        <v>3740</v>
      </c>
      <c r="D91" t="str">
        <f t="shared" si="2"/>
        <v>95    Nezahualcóyotl</v>
      </c>
    </row>
    <row r="92" spans="2:4">
      <c r="B92">
        <v>55</v>
      </c>
      <c r="C92" s="15" t="s">
        <v>330</v>
      </c>
      <c r="D92" t="str">
        <f t="shared" si="2"/>
        <v>55    Niños Héroes</v>
      </c>
    </row>
    <row r="93" spans="2:4">
      <c r="B93">
        <v>74</v>
      </c>
      <c r="C93" s="15" t="s">
        <v>112</v>
      </c>
      <c r="D93" t="str">
        <f t="shared" si="2"/>
        <v>74    Normal</v>
      </c>
    </row>
    <row r="94" spans="2:4">
      <c r="B94">
        <v>28</v>
      </c>
      <c r="C94" s="15" t="s">
        <v>75</v>
      </c>
      <c r="D94" t="str">
        <f t="shared" si="2"/>
        <v>28    Norte 45</v>
      </c>
    </row>
    <row r="95" spans="2:4">
      <c r="B95">
        <v>125</v>
      </c>
      <c r="C95" s="15" t="s">
        <v>146</v>
      </c>
      <c r="D95" t="str">
        <f t="shared" si="2"/>
        <v>125    Obrera</v>
      </c>
    </row>
    <row r="96" spans="2:4">
      <c r="B96">
        <v>103</v>
      </c>
      <c r="C96" s="15" t="s">
        <v>130</v>
      </c>
      <c r="D96" t="str">
        <f t="shared" si="2"/>
        <v>103    Observatorio</v>
      </c>
    </row>
    <row r="97" spans="2:4">
      <c r="B97">
        <v>7</v>
      </c>
      <c r="C97" s="15" t="s">
        <v>321</v>
      </c>
      <c r="D97" t="str">
        <f t="shared" si="2"/>
        <v>7    Oceanía</v>
      </c>
    </row>
    <row r="98" spans="2:4">
      <c r="B98">
        <v>100</v>
      </c>
      <c r="C98" s="15" t="s">
        <v>337</v>
      </c>
      <c r="D98" t="str">
        <f t="shared" si="2"/>
        <v>100    Olímpica</v>
      </c>
    </row>
    <row r="99" spans="2:4">
      <c r="B99">
        <v>70</v>
      </c>
      <c r="C99" s="15" t="s">
        <v>109</v>
      </c>
      <c r="D99" t="str">
        <f t="shared" si="2"/>
        <v>70    Panteones</v>
      </c>
    </row>
    <row r="100" spans="2:4">
      <c r="B100">
        <v>12</v>
      </c>
      <c r="C100" s="15" t="s">
        <v>323</v>
      </c>
      <c r="D100" t="str">
        <f t="shared" si="2"/>
        <v>12    Pantitlán</v>
      </c>
    </row>
    <row r="101" spans="2:4">
      <c r="B101">
        <v>116</v>
      </c>
      <c r="C101" s="15" t="s">
        <v>140</v>
      </c>
      <c r="D101" t="str">
        <f t="shared" si="2"/>
        <v>116    Patriotismo</v>
      </c>
    </row>
    <row r="102" spans="2:4">
      <c r="B102">
        <v>141</v>
      </c>
      <c r="C102" s="15" t="s">
        <v>346</v>
      </c>
      <c r="D102" t="str">
        <f t="shared" si="2"/>
        <v>141    Peñón Viejo</v>
      </c>
    </row>
    <row r="103" spans="2:4">
      <c r="B103">
        <v>19</v>
      </c>
      <c r="C103" s="15" t="s">
        <v>35</v>
      </c>
      <c r="D103" t="str">
        <f t="shared" si="2"/>
        <v>19    Pino Suarez</v>
      </c>
    </row>
    <row r="104" spans="2:4">
      <c r="B104">
        <v>101</v>
      </c>
      <c r="C104" s="15" t="s">
        <v>338</v>
      </c>
      <c r="D104" t="str">
        <f t="shared" si="2"/>
        <v>101    Plaza Aragón</v>
      </c>
    </row>
    <row r="105" spans="2:4">
      <c r="B105">
        <v>36</v>
      </c>
      <c r="C105" s="15" t="s">
        <v>81</v>
      </c>
      <c r="D105" t="str">
        <f t="shared" si="2"/>
        <v>36    Polanco</v>
      </c>
    </row>
    <row r="106" spans="2:4">
      <c r="B106">
        <v>43</v>
      </c>
      <c r="C106" s="15" t="s">
        <v>327</v>
      </c>
      <c r="D106" t="str">
        <f t="shared" si="2"/>
        <v>43    Politécnico</v>
      </c>
    </row>
    <row r="107" spans="2:4">
      <c r="B107">
        <v>72</v>
      </c>
      <c r="C107" s="15" t="s">
        <v>110</v>
      </c>
      <c r="D107" t="str">
        <f t="shared" si="2"/>
        <v>72    Popotla</v>
      </c>
    </row>
    <row r="108" spans="2:4">
      <c r="B108">
        <v>84</v>
      </c>
      <c r="C108" s="15" t="s">
        <v>120</v>
      </c>
      <c r="D108" t="str">
        <f t="shared" si="2"/>
        <v>84    Portales</v>
      </c>
    </row>
    <row r="109" spans="2:4">
      <c r="B109">
        <v>52</v>
      </c>
      <c r="C109" s="15" t="s">
        <v>93</v>
      </c>
      <c r="D109" t="str">
        <f t="shared" si="2"/>
        <v>52    Potrero</v>
      </c>
    </row>
    <row r="110" spans="2:4">
      <c r="B110">
        <v>122</v>
      </c>
      <c r="C110" s="15" t="s">
        <v>144</v>
      </c>
      <c r="D110" t="str">
        <f t="shared" si="2"/>
        <v>122    Puebla</v>
      </c>
    </row>
    <row r="111" spans="2:4">
      <c r="B111">
        <v>91</v>
      </c>
      <c r="C111" s="15" t="s">
        <v>164</v>
      </c>
      <c r="D111" t="str">
        <f t="shared" si="2"/>
        <v>91    R. Rubio</v>
      </c>
    </row>
    <row r="112" spans="2:4">
      <c r="B112">
        <v>34</v>
      </c>
      <c r="C112" s="15" t="s">
        <v>326</v>
      </c>
      <c r="D112" t="str">
        <f t="shared" si="2"/>
        <v>34    Refinería</v>
      </c>
    </row>
    <row r="113" spans="2:4">
      <c r="B113">
        <v>76</v>
      </c>
      <c r="C113" s="15" t="s">
        <v>114</v>
      </c>
      <c r="D113" t="str">
        <f t="shared" si="2"/>
        <v>76    Revolución</v>
      </c>
    </row>
    <row r="114" spans="2:4">
      <c r="B114">
        <v>97</v>
      </c>
      <c r="C114" s="15" t="s">
        <v>127</v>
      </c>
      <c r="D114" t="str">
        <f t="shared" si="2"/>
        <v>97    Río de los Remedios</v>
      </c>
    </row>
    <row r="115" spans="2:4">
      <c r="B115">
        <v>1</v>
      </c>
      <c r="C115" s="15" t="s">
        <v>0</v>
      </c>
      <c r="D115" t="str">
        <f t="shared" si="2"/>
        <v>1    Rosario</v>
      </c>
    </row>
    <row r="116" spans="2:4">
      <c r="B116">
        <v>18</v>
      </c>
      <c r="C116" s="15" t="s">
        <v>34</v>
      </c>
      <c r="D116" t="str">
        <f t="shared" si="2"/>
        <v>18    Salto del Agua</v>
      </c>
    </row>
    <row r="117" spans="2:4">
      <c r="B117">
        <v>79</v>
      </c>
      <c r="C117" s="15" t="s">
        <v>116</v>
      </c>
      <c r="D117" t="str">
        <f t="shared" si="2"/>
        <v>79    San Antonio Abad</v>
      </c>
    </row>
    <row r="118" spans="2:4">
      <c r="B118">
        <v>75</v>
      </c>
      <c r="C118" s="15" t="s">
        <v>113</v>
      </c>
      <c r="D118" t="str">
        <f t="shared" si="2"/>
        <v>75    San Cosme</v>
      </c>
    </row>
    <row r="119" spans="2:4">
      <c r="B119">
        <v>35</v>
      </c>
      <c r="C119" s="15" t="s">
        <v>80</v>
      </c>
      <c r="D119" t="str">
        <f t="shared" si="2"/>
        <v>35    San Joaquín</v>
      </c>
    </row>
    <row r="120" spans="2:4">
      <c r="B120">
        <v>123</v>
      </c>
      <c r="C120" s="15" t="s">
        <v>342</v>
      </c>
      <c r="D120" t="str">
        <f t="shared" si="2"/>
        <v xml:space="preserve">123    San Juan de Letrán </v>
      </c>
    </row>
    <row r="121" spans="2:4">
      <c r="B121">
        <v>11</v>
      </c>
      <c r="C121" s="15" t="s">
        <v>322</v>
      </c>
      <c r="D121" t="str">
        <f t="shared" si="2"/>
        <v>11    San Lázaro</v>
      </c>
    </row>
    <row r="122" spans="2:4">
      <c r="B122">
        <v>143</v>
      </c>
      <c r="C122" s="15" t="s">
        <v>160</v>
      </c>
      <c r="D122" t="str">
        <f t="shared" si="2"/>
        <v>143    Santa Martha</v>
      </c>
    </row>
    <row r="123" spans="2:4">
      <c r="B123">
        <v>106</v>
      </c>
      <c r="C123" s="15" t="s">
        <v>132</v>
      </c>
      <c r="D123" t="str">
        <f t="shared" si="2"/>
        <v>106    Sevilla</v>
      </c>
    </row>
    <row r="124" spans="2:4">
      <c r="B124">
        <v>40</v>
      </c>
      <c r="C124" s="15" t="s">
        <v>85</v>
      </c>
      <c r="D124" t="str">
        <f t="shared" si="2"/>
        <v>40    Sn. Antonio</v>
      </c>
    </row>
    <row r="125" spans="2:4">
      <c r="B125">
        <v>39</v>
      </c>
      <c r="C125" s="15" t="s">
        <v>84</v>
      </c>
      <c r="D125" t="str">
        <f t="shared" si="2"/>
        <v>39    Sn. Pedro de los Pinos</v>
      </c>
    </row>
    <row r="126" spans="2:4">
      <c r="B126">
        <v>24</v>
      </c>
      <c r="C126" s="15" t="s">
        <v>3741</v>
      </c>
      <c r="D126" t="str">
        <f t="shared" si="2"/>
        <v>24    Sta. Anita</v>
      </c>
    </row>
    <row r="127" spans="2:4">
      <c r="B127">
        <v>13</v>
      </c>
      <c r="C127" s="15" t="s">
        <v>9</v>
      </c>
      <c r="D127" t="str">
        <f t="shared" si="2"/>
        <v>13    Tacuba</v>
      </c>
    </row>
    <row r="128" spans="2:4">
      <c r="B128">
        <v>16</v>
      </c>
      <c r="C128" s="15" t="s">
        <v>31</v>
      </c>
      <c r="D128" t="str">
        <f t="shared" si="2"/>
        <v>16    Tacubaya</v>
      </c>
    </row>
    <row r="129" spans="2:4">
      <c r="B129">
        <v>65</v>
      </c>
      <c r="C129" s="15" t="s">
        <v>331</v>
      </c>
      <c r="D129" t="str">
        <f t="shared" si="2"/>
        <v>65    Talismán</v>
      </c>
    </row>
    <row r="130" spans="2:4">
      <c r="B130">
        <v>86</v>
      </c>
      <c r="C130" s="15" t="s">
        <v>122</v>
      </c>
      <c r="D130" t="str">
        <f t="shared" si="2"/>
        <v>86    Tasqueña</v>
      </c>
    </row>
    <row r="131" spans="2:4">
      <c r="B131">
        <v>139</v>
      </c>
      <c r="C131" s="15" t="s">
        <v>157</v>
      </c>
      <c r="D131" t="str">
        <f t="shared" ref="D131:D148" si="3">CONCATENATE(B131,"    ",C131)</f>
        <v>139    Tepalcates</v>
      </c>
    </row>
    <row r="132" spans="2:4">
      <c r="B132">
        <v>89</v>
      </c>
      <c r="C132" s="15" t="s">
        <v>125</v>
      </c>
      <c r="D132" t="str">
        <f t="shared" si="3"/>
        <v>89    Tepito</v>
      </c>
    </row>
    <row r="133" spans="2:4">
      <c r="B133">
        <v>49</v>
      </c>
      <c r="C133" s="15" t="s">
        <v>90</v>
      </c>
      <c r="D133" t="str">
        <f t="shared" si="3"/>
        <v>49    Terminal Aérea</v>
      </c>
    </row>
    <row r="134" spans="2:4">
      <c r="B134">
        <v>25</v>
      </c>
      <c r="C134" s="15" t="s">
        <v>73</v>
      </c>
      <c r="D134" t="str">
        <f t="shared" si="3"/>
        <v>25    Tezozomoc</v>
      </c>
    </row>
    <row r="135" spans="2:4">
      <c r="B135">
        <v>53</v>
      </c>
      <c r="C135" s="15" t="s">
        <v>94</v>
      </c>
      <c r="D135" t="str">
        <f t="shared" si="3"/>
        <v>53    Tlatelolco</v>
      </c>
    </row>
    <row r="136" spans="2:4">
      <c r="B136">
        <v>135</v>
      </c>
      <c r="C136" s="15" t="s">
        <v>155</v>
      </c>
      <c r="D136" t="str">
        <f t="shared" si="3"/>
        <v>135    UAM-1</v>
      </c>
    </row>
    <row r="137" spans="2:4">
      <c r="B137">
        <v>64</v>
      </c>
      <c r="C137" s="15" t="s">
        <v>104</v>
      </c>
      <c r="D137" t="str">
        <f t="shared" si="3"/>
        <v>64    Universidad</v>
      </c>
    </row>
    <row r="138" spans="2:4">
      <c r="B138">
        <v>46</v>
      </c>
      <c r="C138" s="15" t="s">
        <v>89</v>
      </c>
      <c r="D138" t="str">
        <f t="shared" si="3"/>
        <v>46    Valle Gómez</v>
      </c>
    </row>
    <row r="139" spans="2:4">
      <c r="B139">
        <v>29</v>
      </c>
      <c r="C139" s="15" t="s">
        <v>76</v>
      </c>
      <c r="D139" t="str">
        <f t="shared" si="3"/>
        <v>29    Vallejo</v>
      </c>
    </row>
    <row r="140" spans="2:4">
      <c r="B140">
        <v>120</v>
      </c>
      <c r="C140" s="15" t="s">
        <v>341</v>
      </c>
      <c r="D140" t="str">
        <f t="shared" si="3"/>
        <v>120    Velódromo</v>
      </c>
    </row>
    <row r="141" spans="2:4">
      <c r="B141">
        <v>80</v>
      </c>
      <c r="C141" s="15" t="s">
        <v>117</v>
      </c>
      <c r="D141" t="str">
        <f t="shared" si="3"/>
        <v>80    Viaducto</v>
      </c>
    </row>
    <row r="142" spans="2:4">
      <c r="B142">
        <v>94</v>
      </c>
      <c r="C142" s="15" t="s">
        <v>336</v>
      </c>
      <c r="D142" t="str">
        <f t="shared" si="3"/>
        <v>94    Villa de Aragón</v>
      </c>
    </row>
    <row r="143" spans="2:4">
      <c r="B143">
        <v>82</v>
      </c>
      <c r="C143" s="15" t="s">
        <v>333</v>
      </c>
      <c r="D143" t="str">
        <f t="shared" si="3"/>
        <v>82    Villa de Cortés</v>
      </c>
    </row>
    <row r="144" spans="2:4">
      <c r="B144">
        <v>61</v>
      </c>
      <c r="C144" s="15" t="s">
        <v>101</v>
      </c>
      <c r="D144" t="str">
        <f t="shared" si="3"/>
        <v>61    Viveros / Derechos Humanos</v>
      </c>
    </row>
    <row r="145" spans="2:4">
      <c r="B145">
        <v>81</v>
      </c>
      <c r="C145" s="15" t="s">
        <v>118</v>
      </c>
      <c r="D145" t="str">
        <f t="shared" si="3"/>
        <v>81    Xola</v>
      </c>
    </row>
    <row r="146" spans="2:4">
      <c r="B146">
        <v>146</v>
      </c>
      <c r="C146" s="15" t="s">
        <v>422</v>
      </c>
      <c r="D146" t="str">
        <f t="shared" si="3"/>
        <v>146    Zapata</v>
      </c>
    </row>
    <row r="147" spans="2:4">
      <c r="B147">
        <v>115</v>
      </c>
      <c r="C147" s="15" t="s">
        <v>139</v>
      </c>
      <c r="D147" t="str">
        <f t="shared" si="3"/>
        <v>115    Zaragoza</v>
      </c>
    </row>
    <row r="148" spans="2:4">
      <c r="B148">
        <v>78</v>
      </c>
      <c r="C148" s="15" t="s">
        <v>332</v>
      </c>
      <c r="D148" t="str">
        <f t="shared" si="3"/>
        <v>78    Zócalo</v>
      </c>
    </row>
  </sheetData>
  <sortState ref="B2:D146">
    <sortCondition ref="C2:C146"/>
  </sortState>
  <phoneticPr fontId="2" type="noConversion"/>
  <dataValidations count="1">
    <dataValidation type="list" allowBlank="1" showInputMessage="1" showErrorMessage="1" sqref="G2:H12">
      <formula1>Estaciones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3"/>
  <dimension ref="B3:L5"/>
  <sheetViews>
    <sheetView workbookViewId="0">
      <selection activeCell="K5" sqref="K5"/>
    </sheetView>
  </sheetViews>
  <sheetFormatPr baseColWidth="10" defaultRowHeight="15"/>
  <cols>
    <col min="1" max="1" width="5" customWidth="1"/>
    <col min="2" max="2" width="11.85546875" bestFit="1" customWidth="1"/>
    <col min="3" max="3" width="11.140625" customWidth="1"/>
    <col min="4" max="4" width="14.42578125" bestFit="1" customWidth="1"/>
    <col min="5" max="5" width="27" bestFit="1" customWidth="1"/>
    <col min="6" max="7" width="15.42578125" bestFit="1" customWidth="1"/>
    <col min="8" max="8" width="9.5703125" bestFit="1" customWidth="1"/>
    <col min="9" max="9" width="14.42578125" bestFit="1" customWidth="1"/>
    <col min="10" max="10" width="7.28515625" customWidth="1"/>
    <col min="11" max="11" width="105.140625" bestFit="1" customWidth="1"/>
    <col min="12" max="12" width="107.42578125" customWidth="1"/>
  </cols>
  <sheetData>
    <row r="3" spans="2:12">
      <c r="C3" s="9" t="s">
        <v>1074</v>
      </c>
      <c r="D3" s="9" t="s">
        <v>185</v>
      </c>
      <c r="E3" s="9" t="s">
        <v>650</v>
      </c>
      <c r="F3" s="9" t="s">
        <v>70</v>
      </c>
      <c r="G3" s="9" t="s">
        <v>71</v>
      </c>
      <c r="H3" s="9" t="s">
        <v>72</v>
      </c>
      <c r="I3" s="9" t="s">
        <v>1079</v>
      </c>
      <c r="J3" s="9"/>
      <c r="K3" s="9" t="s">
        <v>354</v>
      </c>
      <c r="L3" s="9"/>
    </row>
    <row r="4" spans="2:12">
      <c r="C4" s="9" t="s">
        <v>1075</v>
      </c>
      <c r="D4" s="9" t="s">
        <v>1076</v>
      </c>
      <c r="E4" s="9" t="s">
        <v>1077</v>
      </c>
      <c r="F4" s="9" t="s">
        <v>1077</v>
      </c>
      <c r="G4" s="9" t="s">
        <v>1077</v>
      </c>
      <c r="H4" s="9" t="s">
        <v>1078</v>
      </c>
      <c r="I4" s="9" t="s">
        <v>1080</v>
      </c>
      <c r="J4" s="9"/>
      <c r="K4" s="9"/>
      <c r="L4" s="9"/>
    </row>
    <row r="5" spans="2:12">
      <c r="B5" t="str">
        <f>CONCATENATE(C5,"     ",D5)</f>
        <v>1     Metro</v>
      </c>
      <c r="C5">
        <v>1</v>
      </c>
      <c r="D5" t="s">
        <v>404</v>
      </c>
      <c r="E5" t="s">
        <v>405</v>
      </c>
      <c r="F5" t="s">
        <v>406</v>
      </c>
      <c r="G5" t="s">
        <v>407</v>
      </c>
      <c r="H5">
        <v>1</v>
      </c>
      <c r="I5" s="31">
        <v>41031</v>
      </c>
      <c r="K5" t="s">
        <v>1081</v>
      </c>
      <c r="L5" s="10"/>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sheetPr codeName="Hoja4"/>
  <dimension ref="B1:P29"/>
  <sheetViews>
    <sheetView workbookViewId="0">
      <selection activeCell="D14" sqref="D14:E14"/>
    </sheetView>
  </sheetViews>
  <sheetFormatPr baseColWidth="10" defaultRowHeight="15"/>
  <cols>
    <col min="1" max="1" width="2.140625" customWidth="1"/>
    <col min="2" max="2" width="5.28515625" customWidth="1"/>
    <col min="3" max="3" width="8.85546875" bestFit="1" customWidth="1"/>
    <col min="4" max="4" width="18.7109375" customWidth="1"/>
    <col min="5" max="5" width="24.28515625" customWidth="1"/>
    <col min="6" max="6" width="16.85546875" customWidth="1"/>
    <col min="7" max="7" width="15.42578125" bestFit="1" customWidth="1"/>
    <col min="8" max="8" width="15.7109375" bestFit="1" customWidth="1"/>
    <col min="9" max="9" width="9.5703125" bestFit="1" customWidth="1"/>
    <col min="10" max="10" width="9" customWidth="1"/>
    <col min="11" max="11" width="69" bestFit="1" customWidth="1"/>
    <col min="12" max="12" width="64.28515625" bestFit="1" customWidth="1"/>
    <col min="13" max="13" width="11.7109375" bestFit="1" customWidth="1"/>
    <col min="14" max="14" width="9" bestFit="1" customWidth="1"/>
    <col min="15" max="15" width="11.85546875" bestFit="1" customWidth="1"/>
    <col min="16" max="16" width="7.42578125" bestFit="1" customWidth="1"/>
    <col min="17" max="17" width="106.42578125" bestFit="1" customWidth="1"/>
  </cols>
  <sheetData>
    <row r="1" spans="2:16">
      <c r="B1" s="12"/>
    </row>
    <row r="2" spans="2:16">
      <c r="B2" t="s">
        <v>403</v>
      </c>
      <c r="C2" t="s">
        <v>402</v>
      </c>
    </row>
    <row r="3" spans="2:16">
      <c r="B3" t="s">
        <v>64</v>
      </c>
      <c r="C3" s="9" t="s">
        <v>1082</v>
      </c>
      <c r="D3" s="9" t="s">
        <v>1083</v>
      </c>
      <c r="E3" s="9" t="s">
        <v>184</v>
      </c>
      <c r="F3" s="9" t="s">
        <v>1085</v>
      </c>
      <c r="G3" s="9" t="s">
        <v>1086</v>
      </c>
      <c r="H3" s="9" t="s">
        <v>1087</v>
      </c>
      <c r="I3" s="9" t="s">
        <v>72</v>
      </c>
      <c r="J3" s="9"/>
      <c r="K3" s="9"/>
      <c r="L3" s="9"/>
      <c r="M3" s="9"/>
      <c r="N3" s="9"/>
      <c r="O3" s="9"/>
      <c r="P3" s="9"/>
    </row>
    <row r="4" spans="2:16">
      <c r="C4" s="9" t="s">
        <v>1075</v>
      </c>
      <c r="D4" s="9" t="s">
        <v>1084</v>
      </c>
      <c r="E4" s="9" t="s">
        <v>1084</v>
      </c>
      <c r="F4" s="9" t="s">
        <v>1076</v>
      </c>
      <c r="G4" s="9" t="s">
        <v>1077</v>
      </c>
      <c r="H4" s="9" t="s">
        <v>1088</v>
      </c>
      <c r="I4" s="9" t="s">
        <v>1078</v>
      </c>
      <c r="J4" s="9"/>
      <c r="K4" s="9"/>
      <c r="L4" s="9"/>
      <c r="M4" s="9"/>
      <c r="N4" s="9"/>
      <c r="O4" s="9"/>
      <c r="P4" s="9"/>
    </row>
    <row r="5" spans="2:16">
      <c r="B5" t="s">
        <v>355</v>
      </c>
      <c r="C5">
        <v>1</v>
      </c>
      <c r="D5" t="s">
        <v>186</v>
      </c>
      <c r="E5" t="s">
        <v>3742</v>
      </c>
      <c r="F5">
        <v>1</v>
      </c>
      <c r="G5" t="s">
        <v>28</v>
      </c>
      <c r="H5" t="str">
        <f>CONCATENATE("linea",LOWER(F5),"icono")</f>
        <v>linea1icono</v>
      </c>
      <c r="I5">
        <v>1</v>
      </c>
      <c r="J5" s="10"/>
      <c r="K5" t="s">
        <v>1089</v>
      </c>
      <c r="L5" t="s">
        <v>1089</v>
      </c>
      <c r="M5" t="b">
        <f>L5=K5</f>
        <v>1</v>
      </c>
    </row>
    <row r="6" spans="2:16">
      <c r="B6" s="8" t="s">
        <v>165</v>
      </c>
      <c r="C6">
        <v>2</v>
      </c>
      <c r="D6" t="s">
        <v>187</v>
      </c>
      <c r="E6" t="s">
        <v>188</v>
      </c>
      <c r="F6">
        <v>2</v>
      </c>
      <c r="G6" t="s">
        <v>32</v>
      </c>
      <c r="H6" t="str">
        <f t="shared" ref="H6:H15" si="0">CONCATENATE("linea",LOWER(F6),"icono")</f>
        <v>linea2icono</v>
      </c>
      <c r="I6">
        <v>1</v>
      </c>
      <c r="J6" s="10"/>
      <c r="K6" t="s">
        <v>1090</v>
      </c>
      <c r="L6" t="s">
        <v>1090</v>
      </c>
      <c r="M6" t="b">
        <f t="shared" ref="M6:M15" si="1">L6=K6</f>
        <v>1</v>
      </c>
    </row>
    <row r="7" spans="2:16">
      <c r="B7" t="s">
        <v>356</v>
      </c>
      <c r="C7">
        <v>3</v>
      </c>
      <c r="D7" t="s">
        <v>189</v>
      </c>
      <c r="E7" t="s">
        <v>190</v>
      </c>
      <c r="F7">
        <v>3</v>
      </c>
      <c r="G7" t="s">
        <v>13</v>
      </c>
      <c r="H7" t="str">
        <f t="shared" si="0"/>
        <v>linea3icono</v>
      </c>
      <c r="I7">
        <v>1</v>
      </c>
      <c r="J7" s="10"/>
      <c r="K7" t="s">
        <v>1091</v>
      </c>
      <c r="L7" t="s">
        <v>1091</v>
      </c>
      <c r="M7" t="b">
        <f t="shared" si="1"/>
        <v>1</v>
      </c>
    </row>
    <row r="8" spans="2:16">
      <c r="C8">
        <v>4</v>
      </c>
      <c r="D8" t="s">
        <v>172</v>
      </c>
      <c r="E8" t="s">
        <v>3743</v>
      </c>
      <c r="F8">
        <v>4</v>
      </c>
      <c r="G8" t="s">
        <v>16</v>
      </c>
      <c r="H8" t="str">
        <f t="shared" si="0"/>
        <v>linea4icono</v>
      </c>
      <c r="I8">
        <v>1</v>
      </c>
      <c r="J8" s="10"/>
      <c r="K8" t="s">
        <v>1092</v>
      </c>
      <c r="L8" t="s">
        <v>1092</v>
      </c>
      <c r="M8" t="b">
        <f t="shared" si="1"/>
        <v>1</v>
      </c>
    </row>
    <row r="9" spans="2:16">
      <c r="C9">
        <v>5</v>
      </c>
      <c r="D9" t="s">
        <v>3744</v>
      </c>
      <c r="E9" t="s">
        <v>3742</v>
      </c>
      <c r="F9">
        <v>5</v>
      </c>
      <c r="G9" t="s">
        <v>4298</v>
      </c>
      <c r="H9" t="str">
        <f t="shared" si="0"/>
        <v>linea5icono</v>
      </c>
      <c r="I9">
        <v>1</v>
      </c>
      <c r="J9" s="10"/>
      <c r="K9" t="s">
        <v>1093</v>
      </c>
      <c r="L9" t="s">
        <v>1093</v>
      </c>
      <c r="M9" t="b">
        <f t="shared" si="1"/>
        <v>1</v>
      </c>
    </row>
    <row r="10" spans="2:16">
      <c r="C10">
        <v>6</v>
      </c>
      <c r="D10" t="s">
        <v>174</v>
      </c>
      <c r="E10" t="s">
        <v>172</v>
      </c>
      <c r="F10">
        <v>6</v>
      </c>
      <c r="G10" t="s">
        <v>4299</v>
      </c>
      <c r="H10" t="str">
        <f t="shared" si="0"/>
        <v>linea6icono</v>
      </c>
      <c r="I10">
        <v>1</v>
      </c>
      <c r="J10" s="10"/>
      <c r="K10" t="s">
        <v>1094</v>
      </c>
      <c r="L10" t="s">
        <v>1094</v>
      </c>
      <c r="M10" t="b">
        <f t="shared" si="1"/>
        <v>1</v>
      </c>
    </row>
    <row r="11" spans="2:16">
      <c r="C11">
        <v>7</v>
      </c>
      <c r="D11" t="s">
        <v>174</v>
      </c>
      <c r="E11" t="s">
        <v>192</v>
      </c>
      <c r="F11">
        <v>7</v>
      </c>
      <c r="G11" t="s">
        <v>4</v>
      </c>
      <c r="H11" t="str">
        <f t="shared" si="0"/>
        <v>linea7icono</v>
      </c>
      <c r="I11">
        <v>1</v>
      </c>
      <c r="J11" s="10"/>
      <c r="K11" t="s">
        <v>1095</v>
      </c>
      <c r="L11" t="s">
        <v>1095</v>
      </c>
      <c r="M11" t="b">
        <f t="shared" si="1"/>
        <v>1</v>
      </c>
    </row>
    <row r="12" spans="2:16">
      <c r="C12">
        <v>8</v>
      </c>
      <c r="D12" t="s">
        <v>175</v>
      </c>
      <c r="E12" t="s">
        <v>193</v>
      </c>
      <c r="F12">
        <v>8</v>
      </c>
      <c r="G12" t="s">
        <v>26</v>
      </c>
      <c r="H12" t="str">
        <f t="shared" si="0"/>
        <v>linea8icono</v>
      </c>
      <c r="I12">
        <v>1</v>
      </c>
      <c r="J12" s="10"/>
      <c r="K12" t="s">
        <v>1096</v>
      </c>
      <c r="L12" t="s">
        <v>1096</v>
      </c>
      <c r="M12" t="b">
        <f t="shared" si="1"/>
        <v>1</v>
      </c>
    </row>
    <row r="13" spans="2:16">
      <c r="C13">
        <v>9</v>
      </c>
      <c r="D13" t="s">
        <v>169</v>
      </c>
      <c r="E13" t="s">
        <v>3742</v>
      </c>
      <c r="F13">
        <v>9</v>
      </c>
      <c r="G13" t="s">
        <v>30</v>
      </c>
      <c r="H13" t="str">
        <f t="shared" si="0"/>
        <v>linea9icono</v>
      </c>
      <c r="I13">
        <v>1</v>
      </c>
      <c r="J13" s="10"/>
      <c r="K13" t="s">
        <v>1097</v>
      </c>
      <c r="L13" t="s">
        <v>1097</v>
      </c>
      <c r="M13" t="b">
        <f t="shared" si="1"/>
        <v>1</v>
      </c>
    </row>
    <row r="14" spans="2:16">
      <c r="C14">
        <v>10</v>
      </c>
      <c r="D14" t="s">
        <v>3742</v>
      </c>
      <c r="E14" t="s">
        <v>182</v>
      </c>
      <c r="F14" t="s">
        <v>349</v>
      </c>
      <c r="G14" t="s">
        <v>4300</v>
      </c>
      <c r="H14" t="str">
        <f t="shared" si="0"/>
        <v>lineaaicono</v>
      </c>
      <c r="I14">
        <v>1</v>
      </c>
      <c r="J14" s="10"/>
      <c r="K14" t="s">
        <v>1098</v>
      </c>
      <c r="L14" t="s">
        <v>1098</v>
      </c>
      <c r="M14" t="b">
        <f t="shared" si="1"/>
        <v>1</v>
      </c>
    </row>
    <row r="15" spans="2:16">
      <c r="C15">
        <v>11</v>
      </c>
      <c r="D15" t="s">
        <v>194</v>
      </c>
      <c r="E15" t="s">
        <v>195</v>
      </c>
      <c r="F15" t="s">
        <v>41</v>
      </c>
      <c r="G15" t="s">
        <v>22</v>
      </c>
      <c r="H15" t="str">
        <f t="shared" si="0"/>
        <v>lineabicono</v>
      </c>
      <c r="I15">
        <v>1</v>
      </c>
      <c r="J15" s="10"/>
      <c r="K15" t="s">
        <v>1099</v>
      </c>
      <c r="L15" t="s">
        <v>1099</v>
      </c>
      <c r="M15" t="b">
        <f t="shared" si="1"/>
        <v>1</v>
      </c>
    </row>
    <row r="16" spans="2:16">
      <c r="C16" s="13"/>
    </row>
    <row r="29" spans="9:10">
      <c r="I29" s="13"/>
      <c r="J29" s="13"/>
    </row>
  </sheetData>
  <dataValidations count="1">
    <dataValidation type="list" allowBlank="1" showInputMessage="1" showErrorMessage="1" sqref="D5:E15">
      <formula1>Estaciones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sheetPr codeName="Hoja5"/>
  <dimension ref="A1:S152"/>
  <sheetViews>
    <sheetView topLeftCell="A4" zoomScaleNormal="100" workbookViewId="0">
      <selection activeCell="A6" sqref="A6"/>
    </sheetView>
  </sheetViews>
  <sheetFormatPr baseColWidth="10" defaultRowHeight="15"/>
  <cols>
    <col min="1" max="1" width="20.140625" customWidth="1"/>
    <col min="2" max="2" width="3.85546875" customWidth="1"/>
    <col min="3" max="3" width="10.5703125" bestFit="1" customWidth="1"/>
    <col min="4" max="4" width="12.85546875" bestFit="1" customWidth="1"/>
    <col min="5" max="5" width="31.28515625" bestFit="1" customWidth="1"/>
    <col min="6" max="6" width="13.28515625" customWidth="1"/>
    <col min="7" max="7" width="11" bestFit="1" customWidth="1"/>
    <col min="8" max="8" width="13" bestFit="1" customWidth="1"/>
    <col min="9" max="10" width="14.85546875" bestFit="1" customWidth="1"/>
    <col min="11" max="11" width="22.42578125" bestFit="1" customWidth="1"/>
    <col min="12" max="12" width="25.42578125" bestFit="1" customWidth="1"/>
    <col min="13" max="13" width="14.140625" bestFit="1" customWidth="1"/>
    <col min="14" max="14" width="9.7109375" bestFit="1" customWidth="1"/>
    <col min="15" max="15" width="3.85546875" customWidth="1"/>
    <col min="16" max="16" width="12.5703125" customWidth="1"/>
    <col min="18" max="18" width="30.28515625" customWidth="1"/>
    <col min="19" max="19" width="11.85546875" bestFit="1" customWidth="1"/>
  </cols>
  <sheetData>
    <row r="1" spans="1:19">
      <c r="A1" s="19" t="s">
        <v>478</v>
      </c>
    </row>
    <row r="2" spans="1:19">
      <c r="A2" s="19" t="s">
        <v>481</v>
      </c>
    </row>
    <row r="4" spans="1:19">
      <c r="A4" s="9" t="s">
        <v>484</v>
      </c>
      <c r="C4" s="9" t="s">
        <v>65</v>
      </c>
      <c r="D4" s="9" t="s">
        <v>1074</v>
      </c>
      <c r="E4" s="14" t="s">
        <v>185</v>
      </c>
      <c r="F4" s="9" t="s">
        <v>650</v>
      </c>
      <c r="G4" s="9" t="s">
        <v>66</v>
      </c>
      <c r="H4" s="9" t="s">
        <v>67</v>
      </c>
      <c r="I4" s="9" t="s">
        <v>68</v>
      </c>
      <c r="J4" s="9" t="s">
        <v>69</v>
      </c>
      <c r="K4" s="9" t="s">
        <v>70</v>
      </c>
      <c r="L4" s="9" t="s">
        <v>71</v>
      </c>
      <c r="M4" s="9" t="s">
        <v>1102</v>
      </c>
      <c r="N4" s="9" t="s">
        <v>72</v>
      </c>
      <c r="O4" s="9"/>
    </row>
    <row r="5" spans="1:19" ht="15" customHeight="1">
      <c r="A5" s="9"/>
      <c r="C5" s="9" t="s">
        <v>1075</v>
      </c>
      <c r="D5" s="9" t="s">
        <v>1084</v>
      </c>
      <c r="E5" s="14" t="s">
        <v>1076</v>
      </c>
      <c r="F5" s="9" t="s">
        <v>1077</v>
      </c>
      <c r="G5" s="9" t="s">
        <v>1075</v>
      </c>
      <c r="H5" s="9" t="s">
        <v>1075</v>
      </c>
      <c r="I5" s="9" t="s">
        <v>1075</v>
      </c>
      <c r="J5" s="9" t="s">
        <v>1075</v>
      </c>
      <c r="K5" s="9" t="s">
        <v>1077</v>
      </c>
      <c r="L5" s="9" t="s">
        <v>1101</v>
      </c>
      <c r="M5" s="9" t="s">
        <v>1078</v>
      </c>
      <c r="N5" s="9" t="s">
        <v>1078</v>
      </c>
      <c r="O5" s="9"/>
    </row>
    <row r="6" spans="1:19" ht="15" customHeight="1">
      <c r="A6" t="s">
        <v>348</v>
      </c>
      <c r="C6">
        <v>142</v>
      </c>
      <c r="D6" t="s">
        <v>1250</v>
      </c>
      <c r="E6" s="15" t="s">
        <v>159</v>
      </c>
      <c r="F6" s="15" t="s">
        <v>744</v>
      </c>
      <c r="G6">
        <v>2</v>
      </c>
      <c r="H6">
        <v>1</v>
      </c>
      <c r="I6" s="16">
        <v>471</v>
      </c>
      <c r="J6" s="16">
        <v>446</v>
      </c>
      <c r="K6" t="str">
        <f t="shared" ref="K6:K37" si="0">SUBSTITUTE(SUBSTITUTE(SUBSTITUTE(SUBSTITUTE(SUBSTITUTE(SUBSTITUTE(SUBSTITUTE(SUBSTITUTE(SUBSTITUTE(LOWER(E6)," ",""),".",""),"/",""),"á","a"),"é","e"),"í","i"),"ó","o"),"ú","u"),"ñ","n")</f>
        <v>acatitla</v>
      </c>
      <c r="L6" t="s">
        <v>564</v>
      </c>
      <c r="M6">
        <v>0</v>
      </c>
      <c r="N6">
        <v>1</v>
      </c>
      <c r="O6" s="10"/>
      <c r="P6" t="s">
        <v>1103</v>
      </c>
      <c r="S6" s="9"/>
    </row>
    <row r="7" spans="1:19" ht="15" customHeight="1">
      <c r="A7" s="13" t="s">
        <v>26</v>
      </c>
      <c r="C7">
        <v>130</v>
      </c>
      <c r="D7" t="s">
        <v>1250</v>
      </c>
      <c r="E7" s="15" t="s">
        <v>151</v>
      </c>
      <c r="F7" s="15" t="s">
        <v>745</v>
      </c>
      <c r="G7">
        <v>4</v>
      </c>
      <c r="H7">
        <v>1</v>
      </c>
      <c r="I7" s="16">
        <v>375</v>
      </c>
      <c r="J7" s="16">
        <v>458</v>
      </c>
      <c r="K7" t="str">
        <f t="shared" si="0"/>
        <v>aculco</v>
      </c>
      <c r="L7" t="s">
        <v>565</v>
      </c>
      <c r="M7">
        <v>0</v>
      </c>
      <c r="N7">
        <v>1</v>
      </c>
      <c r="O7" s="10"/>
      <c r="P7" t="s">
        <v>1104</v>
      </c>
      <c r="S7" s="9"/>
    </row>
    <row r="8" spans="1:19" ht="15" customHeight="1">
      <c r="A8" t="s">
        <v>348</v>
      </c>
      <c r="C8">
        <v>137</v>
      </c>
      <c r="D8" t="s">
        <v>1250</v>
      </c>
      <c r="E8" s="15" t="s">
        <v>344</v>
      </c>
      <c r="F8" s="15" t="s">
        <v>746</v>
      </c>
      <c r="G8">
        <v>2</v>
      </c>
      <c r="H8">
        <v>1</v>
      </c>
      <c r="I8" s="16">
        <v>471</v>
      </c>
      <c r="J8" s="16">
        <v>353</v>
      </c>
      <c r="K8" t="str">
        <f t="shared" si="0"/>
        <v>agricolaoriental</v>
      </c>
      <c r="L8" t="s">
        <v>503</v>
      </c>
      <c r="M8">
        <v>0</v>
      </c>
      <c r="N8">
        <v>1</v>
      </c>
      <c r="O8" s="10"/>
      <c r="P8" t="s">
        <v>1105</v>
      </c>
      <c r="S8" s="9"/>
    </row>
    <row r="9" spans="1:19" ht="15" customHeight="1">
      <c r="A9" t="s">
        <v>32</v>
      </c>
      <c r="C9">
        <v>77</v>
      </c>
      <c r="D9" t="s">
        <v>1250</v>
      </c>
      <c r="E9" s="15" t="s">
        <v>115</v>
      </c>
      <c r="F9" s="15" t="s">
        <v>747</v>
      </c>
      <c r="G9">
        <v>4</v>
      </c>
      <c r="H9">
        <v>1</v>
      </c>
      <c r="I9" s="16">
        <v>273</v>
      </c>
      <c r="J9" s="16">
        <v>220</v>
      </c>
      <c r="K9" t="str">
        <f t="shared" si="0"/>
        <v>allende</v>
      </c>
      <c r="L9" t="s">
        <v>566</v>
      </c>
      <c r="M9">
        <v>0</v>
      </c>
      <c r="N9">
        <v>1</v>
      </c>
      <c r="O9" s="10"/>
      <c r="P9" t="s">
        <v>1106</v>
      </c>
      <c r="S9" s="9"/>
    </row>
    <row r="10" spans="1:19" ht="15" customHeight="1">
      <c r="A10" t="s">
        <v>26</v>
      </c>
      <c r="C10">
        <v>129</v>
      </c>
      <c r="D10" t="s">
        <v>1250</v>
      </c>
      <c r="E10" s="15" t="s">
        <v>150</v>
      </c>
      <c r="F10" s="15" t="s">
        <v>748</v>
      </c>
      <c r="G10">
        <v>4</v>
      </c>
      <c r="H10">
        <v>1</v>
      </c>
      <c r="I10" s="16">
        <v>375</v>
      </c>
      <c r="J10" s="16">
        <v>439</v>
      </c>
      <c r="K10" t="str">
        <f t="shared" si="0"/>
        <v>apatlaco</v>
      </c>
      <c r="L10" t="s">
        <v>567</v>
      </c>
      <c r="M10">
        <v>0</v>
      </c>
      <c r="N10">
        <v>1</v>
      </c>
      <c r="O10" s="10"/>
      <c r="P10" t="s">
        <v>1107</v>
      </c>
      <c r="S10" s="9"/>
    </row>
    <row r="11" spans="1:19" ht="15" customHeight="1">
      <c r="A11" t="s">
        <v>4</v>
      </c>
      <c r="C11">
        <v>32</v>
      </c>
      <c r="D11" t="s">
        <v>1250</v>
      </c>
      <c r="E11" s="15" t="s">
        <v>78</v>
      </c>
      <c r="F11" s="15" t="s">
        <v>749</v>
      </c>
      <c r="G11">
        <v>2</v>
      </c>
      <c r="H11">
        <v>1</v>
      </c>
      <c r="I11" s="16">
        <v>79</v>
      </c>
      <c r="J11" s="16">
        <v>105</v>
      </c>
      <c r="K11" s="10" t="str">
        <f t="shared" si="0"/>
        <v>aquilesserdan</v>
      </c>
      <c r="L11" t="s">
        <v>504</v>
      </c>
      <c r="M11">
        <v>0</v>
      </c>
      <c r="N11">
        <v>1</v>
      </c>
      <c r="O11" s="10"/>
      <c r="P11" t="s">
        <v>1108</v>
      </c>
      <c r="S11" s="9"/>
    </row>
    <row r="12" spans="1:19" ht="15" customHeight="1">
      <c r="A12" t="s">
        <v>12</v>
      </c>
      <c r="C12">
        <v>48</v>
      </c>
      <c r="D12" t="s">
        <v>1250</v>
      </c>
      <c r="E12" s="15" t="s">
        <v>329</v>
      </c>
      <c r="F12" s="15" t="s">
        <v>750</v>
      </c>
      <c r="G12">
        <v>2</v>
      </c>
      <c r="H12">
        <v>1</v>
      </c>
      <c r="I12" s="16">
        <v>399</v>
      </c>
      <c r="J12" s="16">
        <v>182</v>
      </c>
      <c r="K12" t="str">
        <f t="shared" si="0"/>
        <v>aragon</v>
      </c>
      <c r="L12" t="s">
        <v>568</v>
      </c>
      <c r="M12">
        <v>0</v>
      </c>
      <c r="N12">
        <v>1</v>
      </c>
      <c r="O12" s="10"/>
      <c r="P12" t="s">
        <v>1109</v>
      </c>
      <c r="S12" s="9"/>
    </row>
    <row r="13" spans="1:19" ht="15" customHeight="1">
      <c r="A13" t="s">
        <v>26</v>
      </c>
      <c r="C13">
        <v>132</v>
      </c>
      <c r="D13" t="s">
        <v>1250</v>
      </c>
      <c r="E13" s="15" t="s">
        <v>152</v>
      </c>
      <c r="F13" s="15" t="s">
        <v>751</v>
      </c>
      <c r="G13">
        <v>3</v>
      </c>
      <c r="H13">
        <v>1</v>
      </c>
      <c r="I13" s="16">
        <v>381</v>
      </c>
      <c r="J13" s="16">
        <v>493</v>
      </c>
      <c r="K13" t="str">
        <f t="shared" si="0"/>
        <v>atlalilco</v>
      </c>
      <c r="L13" t="s">
        <v>569</v>
      </c>
      <c r="M13">
        <v>0</v>
      </c>
      <c r="N13">
        <v>1</v>
      </c>
      <c r="O13" s="10"/>
      <c r="P13" t="s">
        <v>1110</v>
      </c>
      <c r="S13" s="9"/>
    </row>
    <row r="14" spans="1:19" ht="15" customHeight="1">
      <c r="A14" t="s">
        <v>4</v>
      </c>
      <c r="C14">
        <v>37</v>
      </c>
      <c r="D14" t="s">
        <v>1250</v>
      </c>
      <c r="E14" s="15" t="s">
        <v>82</v>
      </c>
      <c r="F14" s="15" t="s">
        <v>752</v>
      </c>
      <c r="G14">
        <v>3</v>
      </c>
      <c r="H14">
        <v>1</v>
      </c>
      <c r="I14" s="16">
        <v>79</v>
      </c>
      <c r="J14" s="16">
        <v>286</v>
      </c>
      <c r="K14" t="str">
        <f t="shared" si="0"/>
        <v>auditorio</v>
      </c>
      <c r="L14" t="s">
        <v>570</v>
      </c>
      <c r="M14">
        <v>0</v>
      </c>
      <c r="N14">
        <v>1</v>
      </c>
      <c r="O14" s="10"/>
      <c r="P14" t="s">
        <v>1111</v>
      </c>
      <c r="S14" s="9"/>
    </row>
    <row r="15" spans="1:19" ht="15" customHeight="1">
      <c r="A15" t="s">
        <v>12</v>
      </c>
      <c r="C15">
        <v>44</v>
      </c>
      <c r="D15" t="s">
        <v>1250</v>
      </c>
      <c r="E15" s="15" t="s">
        <v>87</v>
      </c>
      <c r="F15" s="15" t="s">
        <v>753</v>
      </c>
      <c r="G15">
        <v>4</v>
      </c>
      <c r="H15">
        <v>1</v>
      </c>
      <c r="I15" s="16">
        <v>210</v>
      </c>
      <c r="J15" s="16">
        <v>119</v>
      </c>
      <c r="K15" t="str">
        <f t="shared" si="0"/>
        <v>autobusesdelnorte</v>
      </c>
      <c r="L15" t="s">
        <v>505</v>
      </c>
      <c r="M15">
        <v>0</v>
      </c>
      <c r="N15">
        <v>1</v>
      </c>
      <c r="O15" s="10"/>
      <c r="P15" t="s">
        <v>1112</v>
      </c>
      <c r="S15" s="9"/>
    </row>
    <row r="16" spans="1:19" ht="15" customHeight="1">
      <c r="A16" t="s">
        <v>3</v>
      </c>
      <c r="C16">
        <v>26</v>
      </c>
      <c r="D16" t="s">
        <v>1250</v>
      </c>
      <c r="E16" s="15" t="s">
        <v>74</v>
      </c>
      <c r="F16" s="15" t="s">
        <v>754</v>
      </c>
      <c r="G16">
        <v>2</v>
      </c>
      <c r="H16">
        <v>1</v>
      </c>
      <c r="I16" s="16">
        <v>109</v>
      </c>
      <c r="J16" s="16">
        <v>103</v>
      </c>
      <c r="K16" t="str">
        <f t="shared" si="0"/>
        <v>azcapotzalco</v>
      </c>
      <c r="L16" t="s">
        <v>571</v>
      </c>
      <c r="M16">
        <v>0</v>
      </c>
      <c r="N16">
        <v>1</v>
      </c>
      <c r="O16" s="10"/>
      <c r="P16" t="s">
        <v>1113</v>
      </c>
      <c r="S16" s="9"/>
    </row>
    <row r="17" spans="1:19">
      <c r="A17" t="s">
        <v>28</v>
      </c>
      <c r="C17">
        <v>112</v>
      </c>
      <c r="D17" t="s">
        <v>1250</v>
      </c>
      <c r="E17" s="15" t="s">
        <v>137</v>
      </c>
      <c r="F17" s="15" t="s">
        <v>755</v>
      </c>
      <c r="G17">
        <v>2</v>
      </c>
      <c r="H17">
        <v>1</v>
      </c>
      <c r="I17" s="16">
        <v>403</v>
      </c>
      <c r="J17" s="16">
        <v>270</v>
      </c>
      <c r="K17" t="str">
        <f t="shared" si="0"/>
        <v>balbuena</v>
      </c>
      <c r="L17" t="s">
        <v>572</v>
      </c>
      <c r="M17">
        <v>0</v>
      </c>
      <c r="N17">
        <v>1</v>
      </c>
      <c r="O17" s="10"/>
      <c r="P17" t="s">
        <v>1114</v>
      </c>
      <c r="S17" s="9"/>
    </row>
    <row r="18" spans="1:19">
      <c r="A18" t="s">
        <v>444</v>
      </c>
      <c r="C18">
        <v>17</v>
      </c>
      <c r="D18" t="s">
        <v>1250</v>
      </c>
      <c r="E18" s="15" t="s">
        <v>33</v>
      </c>
      <c r="F18" s="15" t="s">
        <v>756</v>
      </c>
      <c r="G18">
        <v>4</v>
      </c>
      <c r="H18">
        <v>1</v>
      </c>
      <c r="I18" s="16">
        <v>196</v>
      </c>
      <c r="J18" s="16">
        <v>280</v>
      </c>
      <c r="K18" t="str">
        <f t="shared" si="0"/>
        <v>balderas</v>
      </c>
      <c r="L18" t="s">
        <v>573</v>
      </c>
      <c r="M18">
        <v>1</v>
      </c>
      <c r="N18">
        <v>1</v>
      </c>
      <c r="O18" s="10"/>
      <c r="P18" t="s">
        <v>1115</v>
      </c>
      <c r="S18" s="9"/>
    </row>
    <row r="19" spans="1:19" ht="15" customHeight="1">
      <c r="A19" t="s">
        <v>4</v>
      </c>
      <c r="C19">
        <v>42</v>
      </c>
      <c r="D19" t="s">
        <v>1250</v>
      </c>
      <c r="E19" s="15" t="s">
        <v>86</v>
      </c>
      <c r="F19" s="15" t="s">
        <v>757</v>
      </c>
      <c r="G19">
        <v>2</v>
      </c>
      <c r="H19">
        <v>1</v>
      </c>
      <c r="I19" s="16">
        <v>79</v>
      </c>
      <c r="J19" s="16">
        <v>440</v>
      </c>
      <c r="K19" t="str">
        <f t="shared" si="0"/>
        <v>barrancadelmuerto</v>
      </c>
      <c r="L19" t="s">
        <v>506</v>
      </c>
      <c r="M19">
        <v>0</v>
      </c>
      <c r="N19">
        <v>1</v>
      </c>
      <c r="O19" s="10"/>
      <c r="P19" t="s">
        <v>1116</v>
      </c>
      <c r="S19" s="9"/>
    </row>
    <row r="20" spans="1:19" ht="15" customHeight="1">
      <c r="A20" t="s">
        <v>442</v>
      </c>
      <c r="C20">
        <v>15</v>
      </c>
      <c r="D20" t="s">
        <v>1250</v>
      </c>
      <c r="E20" s="15" t="s">
        <v>25</v>
      </c>
      <c r="F20" s="15" t="s">
        <v>457</v>
      </c>
      <c r="G20">
        <v>4</v>
      </c>
      <c r="H20">
        <v>1</v>
      </c>
      <c r="I20" s="16">
        <v>236</v>
      </c>
      <c r="J20" s="16">
        <v>213</v>
      </c>
      <c r="K20" t="str">
        <f t="shared" si="0"/>
        <v>bellasartes</v>
      </c>
      <c r="L20" t="s">
        <v>507</v>
      </c>
      <c r="M20">
        <v>1</v>
      </c>
      <c r="N20">
        <v>1</v>
      </c>
      <c r="O20" s="10"/>
      <c r="P20" t="s">
        <v>1117</v>
      </c>
      <c r="S20" s="9"/>
    </row>
    <row r="21" spans="1:19" ht="15" customHeight="1">
      <c r="A21" t="s">
        <v>16</v>
      </c>
      <c r="C21">
        <v>66</v>
      </c>
      <c r="D21" t="s">
        <v>1250</v>
      </c>
      <c r="E21" s="15" t="s">
        <v>105</v>
      </c>
      <c r="F21" s="15" t="s">
        <v>758</v>
      </c>
      <c r="G21">
        <v>2</v>
      </c>
      <c r="H21">
        <v>1</v>
      </c>
      <c r="I21" s="16">
        <v>347</v>
      </c>
      <c r="J21" s="16">
        <v>135</v>
      </c>
      <c r="K21" t="str">
        <f t="shared" si="0"/>
        <v>bondojito</v>
      </c>
      <c r="L21" t="s">
        <v>574</v>
      </c>
      <c r="M21">
        <v>0</v>
      </c>
      <c r="N21">
        <v>1</v>
      </c>
      <c r="O21" s="10"/>
      <c r="P21" t="s">
        <v>1118</v>
      </c>
      <c r="S21" s="9"/>
    </row>
    <row r="22" spans="1:19" ht="15" customHeight="1">
      <c r="A22" t="s">
        <v>22</v>
      </c>
      <c r="C22">
        <v>93</v>
      </c>
      <c r="D22" t="s">
        <v>1250</v>
      </c>
      <c r="E22" s="15" t="s">
        <v>335</v>
      </c>
      <c r="F22" s="15" t="s">
        <v>474</v>
      </c>
      <c r="G22">
        <v>2</v>
      </c>
      <c r="H22">
        <v>1</v>
      </c>
      <c r="I22" s="16">
        <v>443</v>
      </c>
      <c r="J22" s="16">
        <v>175</v>
      </c>
      <c r="K22" t="str">
        <f t="shared" si="0"/>
        <v>bosquedearagon</v>
      </c>
      <c r="L22" t="s">
        <v>508</v>
      </c>
      <c r="M22">
        <v>0</v>
      </c>
      <c r="N22">
        <v>1</v>
      </c>
      <c r="O22" s="10"/>
      <c r="P22" t="s">
        <v>1119</v>
      </c>
      <c r="S22" s="9"/>
    </row>
    <row r="23" spans="1:19">
      <c r="A23" t="s">
        <v>28</v>
      </c>
      <c r="C23">
        <v>113</v>
      </c>
      <c r="D23" t="s">
        <v>1250</v>
      </c>
      <c r="E23" s="15" t="s">
        <v>339</v>
      </c>
      <c r="F23" s="15" t="s">
        <v>475</v>
      </c>
      <c r="G23">
        <v>6</v>
      </c>
      <c r="H23">
        <v>1</v>
      </c>
      <c r="I23" s="16">
        <v>409</v>
      </c>
      <c r="J23" s="16">
        <v>291</v>
      </c>
      <c r="K23" t="str">
        <f t="shared" si="0"/>
        <v>boulevardpuertoaereo</v>
      </c>
      <c r="L23" t="s">
        <v>509</v>
      </c>
      <c r="M23">
        <v>0</v>
      </c>
      <c r="N23">
        <v>1</v>
      </c>
      <c r="O23" s="10"/>
      <c r="P23" t="s">
        <v>1120</v>
      </c>
      <c r="S23" s="9"/>
    </row>
    <row r="24" spans="1:19" ht="15" customHeight="1">
      <c r="A24" t="s">
        <v>22</v>
      </c>
      <c r="C24">
        <v>87</v>
      </c>
      <c r="D24" t="s">
        <v>1250</v>
      </c>
      <c r="E24" s="15" t="s">
        <v>123</v>
      </c>
      <c r="F24" s="15" t="s">
        <v>759</v>
      </c>
      <c r="G24" s="10">
        <v>4</v>
      </c>
      <c r="H24">
        <v>1</v>
      </c>
      <c r="I24" s="16">
        <v>170</v>
      </c>
      <c r="J24" s="16">
        <v>193</v>
      </c>
      <c r="K24" t="str">
        <f t="shared" si="0"/>
        <v>buenavista</v>
      </c>
      <c r="L24" t="s">
        <v>575</v>
      </c>
      <c r="M24">
        <v>0</v>
      </c>
      <c r="N24">
        <v>1</v>
      </c>
      <c r="O24" s="10"/>
      <c r="P24" t="s">
        <v>1121</v>
      </c>
      <c r="S24" s="9"/>
    </row>
    <row r="25" spans="1:19" ht="15" customHeight="1">
      <c r="A25" t="s">
        <v>4</v>
      </c>
      <c r="C25">
        <v>33</v>
      </c>
      <c r="D25" t="s">
        <v>1250</v>
      </c>
      <c r="E25" s="15" t="s">
        <v>79</v>
      </c>
      <c r="F25" s="15" t="s">
        <v>462</v>
      </c>
      <c r="G25">
        <v>2</v>
      </c>
      <c r="H25">
        <v>1</v>
      </c>
      <c r="I25" s="16">
        <v>79</v>
      </c>
      <c r="J25" s="16">
        <v>122</v>
      </c>
      <c r="K25" t="str">
        <f t="shared" si="0"/>
        <v>camarones</v>
      </c>
      <c r="L25" t="s">
        <v>576</v>
      </c>
      <c r="M25">
        <v>0</v>
      </c>
      <c r="N25">
        <v>1</v>
      </c>
      <c r="O25" s="10"/>
      <c r="P25" t="s">
        <v>1122</v>
      </c>
      <c r="S25" s="9"/>
    </row>
    <row r="26" spans="1:19" ht="15" customHeight="1">
      <c r="A26" t="s">
        <v>348</v>
      </c>
      <c r="C26">
        <v>138</v>
      </c>
      <c r="D26" t="s">
        <v>1250</v>
      </c>
      <c r="E26" s="15" t="s">
        <v>345</v>
      </c>
      <c r="F26" s="15" t="s">
        <v>760</v>
      </c>
      <c r="G26">
        <v>2</v>
      </c>
      <c r="H26">
        <v>1</v>
      </c>
      <c r="I26" s="16">
        <v>471</v>
      </c>
      <c r="J26" s="16">
        <v>372</v>
      </c>
      <c r="K26" t="str">
        <f t="shared" si="0"/>
        <v>canaldesanjuan</v>
      </c>
      <c r="L26" t="s">
        <v>510</v>
      </c>
      <c r="M26">
        <v>0</v>
      </c>
      <c r="N26">
        <v>1</v>
      </c>
      <c r="O26" s="10"/>
      <c r="P26" t="s">
        <v>1123</v>
      </c>
      <c r="S26" s="9"/>
    </row>
    <row r="27" spans="1:19" ht="15" customHeight="1">
      <c r="A27" t="s">
        <v>16</v>
      </c>
      <c r="C27">
        <v>67</v>
      </c>
      <c r="D27" t="s">
        <v>1250</v>
      </c>
      <c r="E27" s="15" t="s">
        <v>106</v>
      </c>
      <c r="F27" s="15" t="s">
        <v>761</v>
      </c>
      <c r="G27">
        <v>2</v>
      </c>
      <c r="H27">
        <v>1</v>
      </c>
      <c r="I27" s="16">
        <v>347</v>
      </c>
      <c r="J27" s="16">
        <v>188</v>
      </c>
      <c r="K27" t="str">
        <f t="shared" si="0"/>
        <v>canaldelnorte</v>
      </c>
      <c r="L27" t="s">
        <v>511</v>
      </c>
      <c r="M27">
        <v>0</v>
      </c>
      <c r="N27">
        <v>1</v>
      </c>
      <c r="O27" s="10"/>
      <c r="P27" t="s">
        <v>1124</v>
      </c>
      <c r="S27" s="9"/>
    </row>
    <row r="28" spans="1:19">
      <c r="A28" t="s">
        <v>447</v>
      </c>
      <c r="C28">
        <v>20</v>
      </c>
      <c r="D28" t="s">
        <v>1250</v>
      </c>
      <c r="E28" s="15" t="s">
        <v>27</v>
      </c>
      <c r="F28" s="15" t="s">
        <v>762</v>
      </c>
      <c r="G28">
        <v>4</v>
      </c>
      <c r="H28">
        <v>1</v>
      </c>
      <c r="I28" s="16">
        <v>347</v>
      </c>
      <c r="J28" s="16">
        <v>231</v>
      </c>
      <c r="K28" t="str">
        <f t="shared" si="0"/>
        <v>candelaria</v>
      </c>
      <c r="L28" t="s">
        <v>577</v>
      </c>
      <c r="M28">
        <v>1</v>
      </c>
      <c r="N28">
        <v>1</v>
      </c>
      <c r="O28" s="10"/>
      <c r="P28" t="s">
        <v>1125</v>
      </c>
      <c r="S28" s="9"/>
    </row>
    <row r="29" spans="1:19" ht="15" customHeight="1">
      <c r="A29" t="s">
        <v>448</v>
      </c>
      <c r="C29">
        <v>21</v>
      </c>
      <c r="D29" t="s">
        <v>1250</v>
      </c>
      <c r="E29" s="15" t="s">
        <v>347</v>
      </c>
      <c r="F29" s="15" t="s">
        <v>460</v>
      </c>
      <c r="G29">
        <v>9</v>
      </c>
      <c r="H29">
        <v>1</v>
      </c>
      <c r="I29" s="16">
        <v>196</v>
      </c>
      <c r="J29" s="16">
        <v>352</v>
      </c>
      <c r="K29" t="str">
        <f t="shared" si="0"/>
        <v>centromedico</v>
      </c>
      <c r="L29" t="s">
        <v>512</v>
      </c>
      <c r="M29">
        <v>1</v>
      </c>
      <c r="N29">
        <v>1</v>
      </c>
      <c r="O29" s="10"/>
      <c r="P29" t="s">
        <v>1126</v>
      </c>
      <c r="S29" s="9"/>
    </row>
    <row r="30" spans="1:19" ht="15" customHeight="1">
      <c r="A30" t="s">
        <v>26</v>
      </c>
      <c r="C30">
        <v>134</v>
      </c>
      <c r="D30" t="s">
        <v>1250</v>
      </c>
      <c r="E30" s="15" t="s">
        <v>154</v>
      </c>
      <c r="F30" s="15" t="s">
        <v>763</v>
      </c>
      <c r="G30">
        <v>4</v>
      </c>
      <c r="H30">
        <v>1</v>
      </c>
      <c r="I30" s="16">
        <v>413</v>
      </c>
      <c r="J30" s="16">
        <v>501</v>
      </c>
      <c r="K30" t="str">
        <f t="shared" si="0"/>
        <v>cerrodelaestrella</v>
      </c>
      <c r="L30" t="s">
        <v>513</v>
      </c>
      <c r="M30">
        <v>0</v>
      </c>
      <c r="N30">
        <v>1</v>
      </c>
      <c r="O30" s="10"/>
      <c r="P30" t="s">
        <v>1127</v>
      </c>
      <c r="S30" s="9"/>
    </row>
    <row r="31" spans="1:19" ht="15" customHeight="1">
      <c r="A31" t="s">
        <v>449</v>
      </c>
      <c r="C31">
        <v>22</v>
      </c>
      <c r="D31" t="s">
        <v>1250</v>
      </c>
      <c r="E31" s="15" t="s">
        <v>37</v>
      </c>
      <c r="F31" s="15" t="s">
        <v>764</v>
      </c>
      <c r="G31">
        <v>9</v>
      </c>
      <c r="H31">
        <v>1</v>
      </c>
      <c r="I31" s="16">
        <v>289</v>
      </c>
      <c r="J31" s="16">
        <v>352</v>
      </c>
      <c r="K31" t="str">
        <f t="shared" si="0"/>
        <v>chabacano</v>
      </c>
      <c r="L31" t="s">
        <v>578</v>
      </c>
      <c r="M31">
        <v>1</v>
      </c>
      <c r="N31">
        <v>1</v>
      </c>
      <c r="O31" s="10"/>
      <c r="P31" t="s">
        <v>1128</v>
      </c>
      <c r="S31" s="9"/>
    </row>
    <row r="32" spans="1:19">
      <c r="A32" t="s">
        <v>28</v>
      </c>
      <c r="C32">
        <v>105</v>
      </c>
      <c r="D32" t="s">
        <v>1250</v>
      </c>
      <c r="E32" s="15" t="s">
        <v>131</v>
      </c>
      <c r="F32" s="15" t="s">
        <v>765</v>
      </c>
      <c r="G32">
        <v>5</v>
      </c>
      <c r="H32">
        <v>1</v>
      </c>
      <c r="I32" s="16">
        <v>114</v>
      </c>
      <c r="J32" s="16">
        <v>315</v>
      </c>
      <c r="K32" t="str">
        <f t="shared" si="0"/>
        <v>chapultepec</v>
      </c>
      <c r="L32" t="s">
        <v>579</v>
      </c>
      <c r="M32">
        <v>0</v>
      </c>
      <c r="N32">
        <v>1</v>
      </c>
      <c r="O32" s="10"/>
      <c r="P32" t="s">
        <v>1129</v>
      </c>
      <c r="S32" s="9"/>
    </row>
    <row r="33" spans="1:19" ht="15" customHeight="1">
      <c r="A33" t="s">
        <v>30</v>
      </c>
      <c r="C33">
        <v>117</v>
      </c>
      <c r="D33" t="s">
        <v>1250</v>
      </c>
      <c r="E33" s="15" t="s">
        <v>141</v>
      </c>
      <c r="F33" s="15" t="s">
        <v>766</v>
      </c>
      <c r="G33">
        <v>4</v>
      </c>
      <c r="H33">
        <v>1</v>
      </c>
      <c r="I33" s="16">
        <v>167</v>
      </c>
      <c r="J33" s="16">
        <v>352</v>
      </c>
      <c r="K33" t="str">
        <f t="shared" si="0"/>
        <v>chilpancingo</v>
      </c>
      <c r="L33" t="s">
        <v>580</v>
      </c>
      <c r="M33">
        <v>0</v>
      </c>
      <c r="N33">
        <v>1</v>
      </c>
      <c r="O33" s="10"/>
      <c r="P33" t="s">
        <v>1130</v>
      </c>
      <c r="S33" s="9"/>
    </row>
    <row r="34" spans="1:19" ht="15" customHeight="1">
      <c r="A34" t="s">
        <v>22</v>
      </c>
      <c r="C34">
        <v>102</v>
      </c>
      <c r="D34" t="s">
        <v>1250</v>
      </c>
      <c r="E34" s="15" t="s">
        <v>129</v>
      </c>
      <c r="F34" s="15" t="s">
        <v>767</v>
      </c>
      <c r="G34">
        <v>4</v>
      </c>
      <c r="H34">
        <v>1</v>
      </c>
      <c r="I34" s="16">
        <v>443</v>
      </c>
      <c r="J34" s="16">
        <v>23</v>
      </c>
      <c r="K34" t="str">
        <f t="shared" si="0"/>
        <v>ciudadazteca</v>
      </c>
      <c r="L34" t="s">
        <v>514</v>
      </c>
      <c r="M34">
        <v>0</v>
      </c>
      <c r="N34">
        <v>1</v>
      </c>
      <c r="O34" s="10"/>
      <c r="P34" t="s">
        <v>1131</v>
      </c>
      <c r="S34" s="9"/>
    </row>
    <row r="35" spans="1:19" ht="15" customHeight="1">
      <c r="A35" t="s">
        <v>30</v>
      </c>
      <c r="C35">
        <v>121</v>
      </c>
      <c r="D35" t="s">
        <v>1250</v>
      </c>
      <c r="E35" s="15" t="s">
        <v>143</v>
      </c>
      <c r="F35" s="15" t="s">
        <v>768</v>
      </c>
      <c r="G35">
        <v>2</v>
      </c>
      <c r="H35">
        <v>1</v>
      </c>
      <c r="I35" s="16">
        <v>425</v>
      </c>
      <c r="J35" s="16">
        <v>352</v>
      </c>
      <c r="K35" t="str">
        <f t="shared" si="0"/>
        <v>ciudaddeportiva</v>
      </c>
      <c r="L35" t="s">
        <v>515</v>
      </c>
      <c r="M35">
        <v>0</v>
      </c>
      <c r="N35">
        <v>1</v>
      </c>
      <c r="O35" s="10"/>
      <c r="P35" t="s">
        <v>1132</v>
      </c>
      <c r="S35" s="9"/>
    </row>
    <row r="36" spans="1:19" ht="15" customHeight="1">
      <c r="A36" t="s">
        <v>32</v>
      </c>
      <c r="C36">
        <v>73</v>
      </c>
      <c r="D36" t="s">
        <v>1250</v>
      </c>
      <c r="E36" s="15" t="s">
        <v>111</v>
      </c>
      <c r="F36" s="15" t="s">
        <v>466</v>
      </c>
      <c r="G36">
        <v>3</v>
      </c>
      <c r="H36">
        <v>1</v>
      </c>
      <c r="I36" s="16">
        <v>116</v>
      </c>
      <c r="J36" s="16">
        <v>213</v>
      </c>
      <c r="K36" t="str">
        <f t="shared" si="0"/>
        <v>colegiomilitar</v>
      </c>
      <c r="L36" t="s">
        <v>516</v>
      </c>
      <c r="M36">
        <v>0</v>
      </c>
      <c r="N36">
        <v>1</v>
      </c>
      <c r="O36" s="10"/>
      <c r="P36" t="s">
        <v>1133</v>
      </c>
      <c r="S36" s="9"/>
    </row>
    <row r="37" spans="1:19" ht="15" customHeight="1">
      <c r="A37" t="s">
        <v>26</v>
      </c>
      <c r="C37">
        <v>136</v>
      </c>
      <c r="D37" t="s">
        <v>1250</v>
      </c>
      <c r="E37" s="15" t="s">
        <v>156</v>
      </c>
      <c r="F37" s="15" t="s">
        <v>769</v>
      </c>
      <c r="G37">
        <v>4</v>
      </c>
      <c r="H37">
        <v>1</v>
      </c>
      <c r="I37" s="16">
        <v>448</v>
      </c>
      <c r="J37" s="16">
        <v>501</v>
      </c>
      <c r="K37" t="str">
        <f t="shared" si="0"/>
        <v>constitucionde1917</v>
      </c>
      <c r="L37" t="s">
        <v>517</v>
      </c>
      <c r="M37">
        <v>0</v>
      </c>
      <c r="N37">
        <v>1</v>
      </c>
      <c r="O37" s="10"/>
      <c r="P37" t="s">
        <v>1134</v>
      </c>
      <c r="S37" s="9"/>
    </row>
    <row r="38" spans="1:19" ht="15" customHeight="1">
      <c r="A38" t="s">
        <v>4</v>
      </c>
      <c r="C38">
        <v>38</v>
      </c>
      <c r="D38" t="s">
        <v>1250</v>
      </c>
      <c r="E38" s="15" t="s">
        <v>83</v>
      </c>
      <c r="F38" s="15" t="s">
        <v>770</v>
      </c>
      <c r="G38">
        <v>2</v>
      </c>
      <c r="H38">
        <v>1</v>
      </c>
      <c r="I38" s="16">
        <v>79</v>
      </c>
      <c r="J38" s="16">
        <v>319</v>
      </c>
      <c r="K38" t="str">
        <f t="shared" ref="K38:K54" si="1">SUBSTITUTE(SUBSTITUTE(SUBSTITUTE(SUBSTITUTE(SUBSTITUTE(SUBSTITUTE(SUBSTITUTE(SUBSTITUTE(SUBSTITUTE(LOWER(E38)," ",""),".",""),"/",""),"á","a"),"é","e"),"í","i"),"ó","o"),"ú","u"),"ñ","n")</f>
        <v>constituyentes</v>
      </c>
      <c r="L38" t="s">
        <v>581</v>
      </c>
      <c r="M38">
        <v>0</v>
      </c>
      <c r="N38">
        <v>1</v>
      </c>
      <c r="O38" s="10"/>
      <c r="P38" t="s">
        <v>1135</v>
      </c>
      <c r="S38" s="9"/>
    </row>
    <row r="39" spans="1:19" ht="15" customHeight="1">
      <c r="A39" t="s">
        <v>433</v>
      </c>
      <c r="C39">
        <v>6</v>
      </c>
      <c r="D39" t="s">
        <v>1250</v>
      </c>
      <c r="E39" s="15" t="s">
        <v>15</v>
      </c>
      <c r="F39" s="15" t="s">
        <v>453</v>
      </c>
      <c r="G39">
        <v>4</v>
      </c>
      <c r="H39">
        <v>1</v>
      </c>
      <c r="I39" s="16">
        <v>347</v>
      </c>
      <c r="J39" s="16">
        <v>161</v>
      </c>
      <c r="K39" t="str">
        <f t="shared" si="1"/>
        <v>consulado</v>
      </c>
      <c r="L39" t="s">
        <v>582</v>
      </c>
      <c r="M39">
        <v>1</v>
      </c>
      <c r="N39">
        <v>1</v>
      </c>
      <c r="O39" s="10"/>
      <c r="P39" t="s">
        <v>1136</v>
      </c>
      <c r="S39" s="9"/>
    </row>
    <row r="40" spans="1:19" ht="15" customHeight="1">
      <c r="A40" t="s">
        <v>13</v>
      </c>
      <c r="C40">
        <v>63</v>
      </c>
      <c r="D40" t="s">
        <v>1250</v>
      </c>
      <c r="E40" s="15" t="s">
        <v>103</v>
      </c>
      <c r="F40" s="15" t="s">
        <v>465</v>
      </c>
      <c r="G40">
        <v>3</v>
      </c>
      <c r="H40">
        <v>1</v>
      </c>
      <c r="I40" s="16">
        <v>196</v>
      </c>
      <c r="J40" s="16">
        <v>502</v>
      </c>
      <c r="K40" t="str">
        <f t="shared" si="1"/>
        <v>copilco</v>
      </c>
      <c r="L40" t="s">
        <v>583</v>
      </c>
      <c r="M40">
        <v>0</v>
      </c>
      <c r="N40">
        <v>1</v>
      </c>
      <c r="O40" s="10"/>
      <c r="P40" t="s">
        <v>1137</v>
      </c>
      <c r="S40" s="9"/>
    </row>
    <row r="41" spans="1:19" ht="15" customHeight="1">
      <c r="A41" t="s">
        <v>13</v>
      </c>
      <c r="C41">
        <v>60</v>
      </c>
      <c r="D41" t="s">
        <v>1250</v>
      </c>
      <c r="E41" s="15" t="s">
        <v>100</v>
      </c>
      <c r="F41" s="15" t="s">
        <v>771</v>
      </c>
      <c r="G41">
        <v>3</v>
      </c>
      <c r="H41">
        <v>1</v>
      </c>
      <c r="I41" s="16">
        <v>196</v>
      </c>
      <c r="J41" s="16">
        <v>446</v>
      </c>
      <c r="K41" t="str">
        <f t="shared" si="1"/>
        <v>coyoacan</v>
      </c>
      <c r="L41" t="s">
        <v>584</v>
      </c>
      <c r="M41">
        <v>0</v>
      </c>
      <c r="N41">
        <v>1</v>
      </c>
      <c r="O41" s="10"/>
      <c r="P41" t="s">
        <v>1138</v>
      </c>
      <c r="S41" s="9"/>
    </row>
    <row r="42" spans="1:19" ht="15" customHeight="1">
      <c r="A42" t="s">
        <v>26</v>
      </c>
      <c r="C42">
        <v>127</v>
      </c>
      <c r="D42" t="s">
        <v>1250</v>
      </c>
      <c r="E42" s="15" t="s">
        <v>148</v>
      </c>
      <c r="F42" s="15" t="s">
        <v>772</v>
      </c>
      <c r="G42">
        <v>4</v>
      </c>
      <c r="H42">
        <v>1</v>
      </c>
      <c r="I42" s="16">
        <v>375</v>
      </c>
      <c r="J42" s="16">
        <v>402</v>
      </c>
      <c r="K42" t="str">
        <f t="shared" si="1"/>
        <v>coyuya</v>
      </c>
      <c r="L42" t="s">
        <v>585</v>
      </c>
      <c r="M42">
        <v>0</v>
      </c>
      <c r="N42">
        <v>1</v>
      </c>
      <c r="O42" s="10"/>
      <c r="P42" t="s">
        <v>1139</v>
      </c>
      <c r="S42" s="9"/>
    </row>
    <row r="43" spans="1:19" ht="15" customHeight="1">
      <c r="A43" t="s">
        <v>32</v>
      </c>
      <c r="C43">
        <v>69</v>
      </c>
      <c r="D43" t="s">
        <v>1250</v>
      </c>
      <c r="E43" s="15" t="s">
        <v>108</v>
      </c>
      <c r="F43" s="15" t="s">
        <v>773</v>
      </c>
      <c r="G43">
        <v>2</v>
      </c>
      <c r="H43">
        <v>1</v>
      </c>
      <c r="I43" s="16">
        <v>23</v>
      </c>
      <c r="J43" s="16">
        <v>176</v>
      </c>
      <c r="K43" t="str">
        <f t="shared" si="1"/>
        <v>cuatrocaminos</v>
      </c>
      <c r="L43" t="s">
        <v>518</v>
      </c>
      <c r="M43">
        <v>0</v>
      </c>
      <c r="N43">
        <v>1</v>
      </c>
      <c r="O43" s="10"/>
      <c r="P43" t="s">
        <v>1140</v>
      </c>
      <c r="S43" s="9"/>
    </row>
    <row r="44" spans="1:19">
      <c r="A44" t="s">
        <v>28</v>
      </c>
      <c r="C44">
        <v>108</v>
      </c>
      <c r="D44" t="s">
        <v>1250</v>
      </c>
      <c r="E44" s="15" t="s">
        <v>3733</v>
      </c>
      <c r="F44" s="15" t="s">
        <v>774</v>
      </c>
      <c r="G44">
        <v>2</v>
      </c>
      <c r="H44">
        <v>1</v>
      </c>
      <c r="I44" s="16">
        <v>173</v>
      </c>
      <c r="J44" s="16">
        <v>280</v>
      </c>
      <c r="K44" t="str">
        <f t="shared" si="1"/>
        <v>cuauhtemoc</v>
      </c>
      <c r="L44" t="s">
        <v>586</v>
      </c>
      <c r="M44">
        <v>0</v>
      </c>
      <c r="N44">
        <v>1</v>
      </c>
      <c r="O44" s="10"/>
      <c r="P44" t="s">
        <v>1141</v>
      </c>
      <c r="S44" s="9"/>
    </row>
    <row r="45" spans="1:19" ht="15" customHeight="1">
      <c r="A45" t="s">
        <v>32</v>
      </c>
      <c r="C45">
        <v>71</v>
      </c>
      <c r="D45" t="s">
        <v>1250</v>
      </c>
      <c r="E45" s="15" t="s">
        <v>3734</v>
      </c>
      <c r="F45" s="15" t="s">
        <v>775</v>
      </c>
      <c r="G45">
        <v>2</v>
      </c>
      <c r="H45">
        <v>1</v>
      </c>
      <c r="I45" s="16">
        <v>90</v>
      </c>
      <c r="J45" s="16">
        <v>188</v>
      </c>
      <c r="K45" t="str">
        <f t="shared" si="1"/>
        <v>cuitlahuac</v>
      </c>
      <c r="L45" t="s">
        <v>587</v>
      </c>
      <c r="M45">
        <v>0</v>
      </c>
      <c r="N45">
        <v>1</v>
      </c>
      <c r="O45" s="10"/>
      <c r="P45" t="s">
        <v>1142</v>
      </c>
      <c r="S45" s="9"/>
    </row>
    <row r="46" spans="1:19" ht="15" customHeight="1">
      <c r="A46" t="s">
        <v>430</v>
      </c>
      <c r="B46" s="10"/>
      <c r="C46">
        <v>3</v>
      </c>
      <c r="D46" t="s">
        <v>1250</v>
      </c>
      <c r="E46" s="15" t="s">
        <v>419</v>
      </c>
      <c r="F46" s="15" t="s">
        <v>452</v>
      </c>
      <c r="G46">
        <v>4</v>
      </c>
      <c r="H46">
        <v>1</v>
      </c>
      <c r="I46" s="17">
        <v>248</v>
      </c>
      <c r="J46" s="16">
        <v>103</v>
      </c>
      <c r="K46" t="str">
        <f t="shared" si="1"/>
        <v>deportivo18demarzo</v>
      </c>
      <c r="L46" t="s">
        <v>519</v>
      </c>
      <c r="M46">
        <v>1</v>
      </c>
      <c r="N46">
        <v>1</v>
      </c>
      <c r="O46" s="10"/>
      <c r="P46" t="s">
        <v>1143</v>
      </c>
      <c r="S46" s="9"/>
    </row>
    <row r="47" spans="1:19" ht="15" customHeight="1">
      <c r="A47" t="s">
        <v>22</v>
      </c>
      <c r="C47">
        <v>92</v>
      </c>
      <c r="D47" t="s">
        <v>1250</v>
      </c>
      <c r="E47" s="15" t="s">
        <v>334</v>
      </c>
      <c r="F47" s="15" t="s">
        <v>776</v>
      </c>
      <c r="G47">
        <v>2</v>
      </c>
      <c r="H47">
        <v>1</v>
      </c>
      <c r="I47" s="16">
        <v>437</v>
      </c>
      <c r="J47" s="16">
        <v>190</v>
      </c>
      <c r="K47" t="str">
        <f t="shared" si="1"/>
        <v>deportivooceania</v>
      </c>
      <c r="L47" t="s">
        <v>520</v>
      </c>
      <c r="M47">
        <v>0</v>
      </c>
      <c r="N47">
        <v>1</v>
      </c>
      <c r="O47" s="10"/>
      <c r="P47" t="s">
        <v>1144</v>
      </c>
      <c r="S47" s="9"/>
    </row>
    <row r="48" spans="1:19" ht="15" customHeight="1">
      <c r="A48" t="s">
        <v>13</v>
      </c>
      <c r="C48">
        <v>59</v>
      </c>
      <c r="D48" t="s">
        <v>1250</v>
      </c>
      <c r="E48" s="15" t="s">
        <v>99</v>
      </c>
      <c r="F48" s="15" t="s">
        <v>777</v>
      </c>
      <c r="G48">
        <v>5</v>
      </c>
      <c r="H48">
        <v>1</v>
      </c>
      <c r="I48" s="16">
        <v>196</v>
      </c>
      <c r="J48" s="16">
        <v>409</v>
      </c>
      <c r="K48" t="str">
        <f t="shared" si="1"/>
        <v>divisiondelnorte</v>
      </c>
      <c r="L48" t="s">
        <v>521</v>
      </c>
      <c r="M48">
        <v>0</v>
      </c>
      <c r="N48">
        <v>1</v>
      </c>
      <c r="O48" s="10"/>
      <c r="P48" t="s">
        <v>1145</v>
      </c>
      <c r="S48" s="9"/>
    </row>
    <row r="49" spans="1:19" ht="15" customHeight="1">
      <c r="A49" t="s">
        <v>26</v>
      </c>
      <c r="C49">
        <v>124</v>
      </c>
      <c r="D49" t="s">
        <v>1250</v>
      </c>
      <c r="E49" s="15" t="s">
        <v>145</v>
      </c>
      <c r="F49" s="15" t="s">
        <v>778</v>
      </c>
      <c r="G49">
        <v>4</v>
      </c>
      <c r="H49">
        <v>1</v>
      </c>
      <c r="I49" s="16">
        <v>243</v>
      </c>
      <c r="J49" s="16">
        <v>304</v>
      </c>
      <c r="K49" t="str">
        <f t="shared" si="1"/>
        <v>doctores</v>
      </c>
      <c r="L49" t="s">
        <v>588</v>
      </c>
      <c r="M49">
        <v>0</v>
      </c>
      <c r="N49">
        <v>1</v>
      </c>
      <c r="O49" s="10"/>
      <c r="P49" t="s">
        <v>1146</v>
      </c>
      <c r="S49" s="9"/>
    </row>
    <row r="50" spans="1:19" ht="15" customHeight="1">
      <c r="A50" t="s">
        <v>22</v>
      </c>
      <c r="C50">
        <v>99</v>
      </c>
      <c r="D50" t="s">
        <v>1250</v>
      </c>
      <c r="E50" s="15" t="s">
        <v>128</v>
      </c>
      <c r="F50" s="15" t="s">
        <v>779</v>
      </c>
      <c r="G50">
        <v>2</v>
      </c>
      <c r="H50">
        <v>1</v>
      </c>
      <c r="I50" s="16">
        <v>443</v>
      </c>
      <c r="J50" s="16">
        <v>74</v>
      </c>
      <c r="K50" t="str">
        <f t="shared" si="1"/>
        <v>ecatepec</v>
      </c>
      <c r="L50" t="s">
        <v>589</v>
      </c>
      <c r="M50">
        <v>0</v>
      </c>
      <c r="N50">
        <v>1</v>
      </c>
      <c r="O50" s="10"/>
      <c r="P50" t="s">
        <v>1147</v>
      </c>
      <c r="S50" s="9"/>
    </row>
    <row r="51" spans="1:19" ht="15" customHeight="1">
      <c r="A51" t="s">
        <v>12</v>
      </c>
      <c r="C51">
        <v>47</v>
      </c>
      <c r="D51" t="s">
        <v>1250</v>
      </c>
      <c r="E51" s="15" t="s">
        <v>328</v>
      </c>
      <c r="F51" s="15" t="s">
        <v>780</v>
      </c>
      <c r="G51">
        <v>2</v>
      </c>
      <c r="H51">
        <v>1</v>
      </c>
      <c r="I51" s="16">
        <v>383</v>
      </c>
      <c r="J51" s="16">
        <v>166</v>
      </c>
      <c r="K51" t="str">
        <f t="shared" si="1"/>
        <v>eduardomolina</v>
      </c>
      <c r="L51" t="s">
        <v>522</v>
      </c>
      <c r="M51">
        <v>0</v>
      </c>
      <c r="N51">
        <v>1</v>
      </c>
      <c r="O51" s="10"/>
      <c r="P51" t="s">
        <v>1148</v>
      </c>
      <c r="S51" s="9"/>
    </row>
    <row r="52" spans="1:19" ht="15" customHeight="1">
      <c r="A52" t="s">
        <v>428</v>
      </c>
      <c r="C52">
        <v>1</v>
      </c>
      <c r="D52" t="s">
        <v>1250</v>
      </c>
      <c r="E52" s="15" t="s">
        <v>412</v>
      </c>
      <c r="F52" s="15" t="s">
        <v>450</v>
      </c>
      <c r="G52" s="10">
        <v>4</v>
      </c>
      <c r="H52">
        <v>1</v>
      </c>
      <c r="I52" s="16">
        <v>79</v>
      </c>
      <c r="J52" s="16">
        <v>81</v>
      </c>
      <c r="K52" t="str">
        <f t="shared" si="1"/>
        <v>elrosario</v>
      </c>
      <c r="L52" t="s">
        <v>523</v>
      </c>
      <c r="M52">
        <v>1</v>
      </c>
      <c r="N52">
        <v>1</v>
      </c>
      <c r="O52" s="10"/>
      <c r="P52" t="s">
        <v>1149</v>
      </c>
      <c r="S52" s="9"/>
    </row>
    <row r="53" spans="1:19" ht="15" customHeight="1">
      <c r="A53" t="s">
        <v>32</v>
      </c>
      <c r="C53">
        <v>147</v>
      </c>
      <c r="D53" t="s">
        <v>1250</v>
      </c>
      <c r="E53" s="15" t="s">
        <v>423</v>
      </c>
      <c r="F53" s="15" t="s">
        <v>471</v>
      </c>
      <c r="G53">
        <v>2</v>
      </c>
      <c r="H53">
        <v>1</v>
      </c>
      <c r="I53" s="16">
        <v>289</v>
      </c>
      <c r="J53" s="16">
        <v>470</v>
      </c>
      <c r="K53" t="str">
        <f t="shared" si="1"/>
        <v>ermita</v>
      </c>
      <c r="L53" t="s">
        <v>590</v>
      </c>
      <c r="M53">
        <v>0</v>
      </c>
      <c r="N53">
        <v>1</v>
      </c>
      <c r="O53" s="10"/>
      <c r="P53" t="s">
        <v>1150</v>
      </c>
      <c r="S53" s="9"/>
    </row>
    <row r="54" spans="1:19" ht="15" customHeight="1">
      <c r="A54" t="s">
        <v>26</v>
      </c>
      <c r="C54">
        <v>131</v>
      </c>
      <c r="D54" t="s">
        <v>1250</v>
      </c>
      <c r="E54" s="15" t="s">
        <v>343</v>
      </c>
      <c r="F54" s="15" t="s">
        <v>781</v>
      </c>
      <c r="G54">
        <v>3</v>
      </c>
      <c r="H54">
        <v>1</v>
      </c>
      <c r="I54" s="16">
        <v>375</v>
      </c>
      <c r="J54" s="16">
        <v>476</v>
      </c>
      <c r="K54" t="str">
        <f t="shared" si="1"/>
        <v>escuadron201</v>
      </c>
      <c r="L54" t="s">
        <v>524</v>
      </c>
      <c r="M54">
        <v>0</v>
      </c>
      <c r="N54">
        <v>1</v>
      </c>
      <c r="O54" s="10"/>
      <c r="P54" t="s">
        <v>1151</v>
      </c>
      <c r="S54" s="9"/>
    </row>
    <row r="55" spans="1:19" ht="15" customHeight="1">
      <c r="A55" t="s">
        <v>13</v>
      </c>
      <c r="C55">
        <v>57</v>
      </c>
      <c r="D55" t="s">
        <v>1250</v>
      </c>
      <c r="E55" s="15" t="s">
        <v>97</v>
      </c>
      <c r="F55" s="15" t="s">
        <v>782</v>
      </c>
      <c r="G55">
        <v>4</v>
      </c>
      <c r="H55">
        <v>1</v>
      </c>
      <c r="I55" s="16">
        <v>196</v>
      </c>
      <c r="J55" s="16">
        <v>371</v>
      </c>
      <c r="K55" t="s">
        <v>409</v>
      </c>
      <c r="L55" t="s">
        <v>1791</v>
      </c>
      <c r="M55">
        <v>0</v>
      </c>
      <c r="N55">
        <v>1</v>
      </c>
      <c r="O55" s="10"/>
      <c r="P55" t="s">
        <v>1152</v>
      </c>
      <c r="S55" s="9"/>
    </row>
    <row r="56" spans="1:19" ht="15" customHeight="1">
      <c r="A56" t="s">
        <v>13</v>
      </c>
      <c r="C56">
        <v>58</v>
      </c>
      <c r="D56" t="s">
        <v>1250</v>
      </c>
      <c r="E56" s="15" t="s">
        <v>98</v>
      </c>
      <c r="F56" s="15" t="s">
        <v>464</v>
      </c>
      <c r="G56">
        <v>2</v>
      </c>
      <c r="H56">
        <v>1</v>
      </c>
      <c r="I56" s="16">
        <v>196</v>
      </c>
      <c r="J56" s="16">
        <v>390</v>
      </c>
      <c r="K56" s="10" t="str">
        <f t="shared" ref="K56:K79" si="2">SUBSTITUTE(SUBSTITUTE(SUBSTITUTE(SUBSTITUTE(SUBSTITUTE(SUBSTITUTE(SUBSTITUTE(SUBSTITUTE(SUBSTITUTE(LOWER(E56)," ",""),".",""),"/",""),"á","a"),"é","e"),"í","i"),"ó","o"),"ú","u"),"ñ","n")</f>
        <v>eugenia</v>
      </c>
      <c r="L56" t="s">
        <v>591</v>
      </c>
      <c r="M56">
        <v>0</v>
      </c>
      <c r="N56">
        <v>1</v>
      </c>
      <c r="O56" s="10"/>
      <c r="P56" t="s">
        <v>1153</v>
      </c>
      <c r="S56" s="9"/>
    </row>
    <row r="57" spans="1:19" ht="15" customHeight="1">
      <c r="A57" t="s">
        <v>3</v>
      </c>
      <c r="C57">
        <v>27</v>
      </c>
      <c r="D57" t="s">
        <v>1250</v>
      </c>
      <c r="E57" s="15" t="s">
        <v>324</v>
      </c>
      <c r="F57" s="15" t="s">
        <v>461</v>
      </c>
      <c r="G57">
        <v>3</v>
      </c>
      <c r="H57">
        <v>1</v>
      </c>
      <c r="I57" s="16">
        <v>128</v>
      </c>
      <c r="J57" s="16">
        <v>103</v>
      </c>
      <c r="K57" t="str">
        <f t="shared" si="2"/>
        <v>ferreria</v>
      </c>
      <c r="L57" t="s">
        <v>592</v>
      </c>
      <c r="M57">
        <v>0</v>
      </c>
      <c r="N57">
        <v>1</v>
      </c>
      <c r="O57" s="10"/>
      <c r="P57" t="s">
        <v>1154</v>
      </c>
      <c r="S57" s="9"/>
    </row>
    <row r="58" spans="1:19" ht="15" customHeight="1">
      <c r="A58" t="s">
        <v>16</v>
      </c>
      <c r="C58">
        <v>68</v>
      </c>
      <c r="D58" t="s">
        <v>1250</v>
      </c>
      <c r="E58" s="15" t="s">
        <v>107</v>
      </c>
      <c r="F58" s="15" t="s">
        <v>783</v>
      </c>
      <c r="G58">
        <v>2</v>
      </c>
      <c r="H58">
        <v>1</v>
      </c>
      <c r="I58" s="16">
        <v>347</v>
      </c>
      <c r="J58" s="16">
        <v>302</v>
      </c>
      <c r="K58" t="str">
        <f t="shared" si="2"/>
        <v>frayservando</v>
      </c>
      <c r="L58" t="s">
        <v>525</v>
      </c>
      <c r="M58">
        <v>0</v>
      </c>
      <c r="N58">
        <v>1</v>
      </c>
      <c r="O58" s="10"/>
      <c r="P58" t="s">
        <v>1155</v>
      </c>
      <c r="S58" s="9"/>
    </row>
    <row r="59" spans="1:19" ht="15" customHeight="1">
      <c r="A59" t="s">
        <v>436</v>
      </c>
      <c r="C59">
        <v>9</v>
      </c>
      <c r="D59" t="s">
        <v>1250</v>
      </c>
      <c r="E59" s="15" t="s">
        <v>24</v>
      </c>
      <c r="F59" s="15" t="s">
        <v>784</v>
      </c>
      <c r="G59">
        <v>6</v>
      </c>
      <c r="H59">
        <v>1</v>
      </c>
      <c r="I59" s="16">
        <v>236</v>
      </c>
      <c r="J59" s="16">
        <v>193</v>
      </c>
      <c r="K59" t="str">
        <f t="shared" si="2"/>
        <v>garibaldi</v>
      </c>
      <c r="L59" t="s">
        <v>593</v>
      </c>
      <c r="M59">
        <v>1</v>
      </c>
      <c r="N59">
        <v>1</v>
      </c>
      <c r="O59" s="10"/>
      <c r="P59" t="s">
        <v>1156</v>
      </c>
      <c r="S59" s="9"/>
    </row>
    <row r="60" spans="1:19" ht="15" customHeight="1">
      <c r="A60" t="s">
        <v>32</v>
      </c>
      <c r="C60">
        <v>85</v>
      </c>
      <c r="D60" t="s">
        <v>1250</v>
      </c>
      <c r="E60" s="15" t="s">
        <v>121</v>
      </c>
      <c r="F60" s="15" t="s">
        <v>470</v>
      </c>
      <c r="G60">
        <v>2</v>
      </c>
      <c r="H60">
        <v>1</v>
      </c>
      <c r="I60" s="16">
        <v>289</v>
      </c>
      <c r="J60" s="16">
        <v>489</v>
      </c>
      <c r="K60" t="str">
        <f t="shared" si="2"/>
        <v>generalanaya</v>
      </c>
      <c r="L60" t="s">
        <v>526</v>
      </c>
      <c r="M60">
        <v>0</v>
      </c>
      <c r="N60">
        <v>1</v>
      </c>
      <c r="O60" s="10"/>
      <c r="P60" t="s">
        <v>1157</v>
      </c>
      <c r="S60" s="9"/>
    </row>
    <row r="61" spans="1:19">
      <c r="A61" t="s">
        <v>28</v>
      </c>
      <c r="C61">
        <v>114</v>
      </c>
      <c r="D61" t="s">
        <v>1250</v>
      </c>
      <c r="E61" s="15" t="s">
        <v>138</v>
      </c>
      <c r="F61" s="15" t="s">
        <v>785</v>
      </c>
      <c r="G61">
        <v>2</v>
      </c>
      <c r="H61">
        <v>1</v>
      </c>
      <c r="I61" s="16">
        <v>413</v>
      </c>
      <c r="J61" s="16">
        <v>312</v>
      </c>
      <c r="K61" t="str">
        <f t="shared" si="2"/>
        <v>gomezfarias</v>
      </c>
      <c r="L61" t="s">
        <v>527</v>
      </c>
      <c r="M61">
        <v>0</v>
      </c>
      <c r="N61">
        <v>1</v>
      </c>
      <c r="O61" s="10"/>
      <c r="P61" t="s">
        <v>1158</v>
      </c>
      <c r="S61" s="9"/>
    </row>
    <row r="62" spans="1:19" ht="15" customHeight="1">
      <c r="A62" t="s">
        <v>348</v>
      </c>
      <c r="C62">
        <v>140</v>
      </c>
      <c r="D62" t="s">
        <v>1250</v>
      </c>
      <c r="E62" s="15" t="s">
        <v>158</v>
      </c>
      <c r="F62" s="15" t="s">
        <v>477</v>
      </c>
      <c r="G62">
        <v>2</v>
      </c>
      <c r="H62">
        <v>1</v>
      </c>
      <c r="I62" s="16">
        <v>471</v>
      </c>
      <c r="J62" s="16">
        <v>409</v>
      </c>
      <c r="K62" t="str">
        <f t="shared" si="2"/>
        <v>guelatao</v>
      </c>
      <c r="L62" t="s">
        <v>594</v>
      </c>
      <c r="M62">
        <v>0</v>
      </c>
      <c r="N62">
        <v>1</v>
      </c>
      <c r="O62" s="10"/>
      <c r="P62" t="s">
        <v>1159</v>
      </c>
      <c r="S62" s="9"/>
    </row>
    <row r="63" spans="1:19" ht="15" customHeight="1">
      <c r="A63" t="s">
        <v>435</v>
      </c>
      <c r="C63">
        <v>8</v>
      </c>
      <c r="D63" t="s">
        <v>1250</v>
      </c>
      <c r="E63" s="15" t="s">
        <v>17</v>
      </c>
      <c r="F63" s="15" t="s">
        <v>786</v>
      </c>
      <c r="G63">
        <v>6</v>
      </c>
      <c r="H63">
        <v>1</v>
      </c>
      <c r="I63" s="16">
        <v>196</v>
      </c>
      <c r="J63" s="16">
        <v>193</v>
      </c>
      <c r="K63" t="str">
        <f t="shared" si="2"/>
        <v>guerrero</v>
      </c>
      <c r="L63" t="s">
        <v>595</v>
      </c>
      <c r="M63">
        <v>1</v>
      </c>
      <c r="N63">
        <v>1</v>
      </c>
      <c r="O63" s="10"/>
      <c r="P63" t="s">
        <v>1160</v>
      </c>
      <c r="S63" s="9"/>
    </row>
    <row r="64" spans="1:19" ht="15" customHeight="1">
      <c r="A64" t="s">
        <v>12</v>
      </c>
      <c r="C64">
        <v>50</v>
      </c>
      <c r="D64" t="s">
        <v>1250</v>
      </c>
      <c r="E64" s="15" t="s">
        <v>91</v>
      </c>
      <c r="F64" s="15" t="s">
        <v>463</v>
      </c>
      <c r="G64">
        <v>2</v>
      </c>
      <c r="H64">
        <v>1</v>
      </c>
      <c r="I64" s="16">
        <v>453</v>
      </c>
      <c r="J64" s="16">
        <v>290</v>
      </c>
      <c r="K64" t="str">
        <f t="shared" si="2"/>
        <v>hangares</v>
      </c>
      <c r="L64" t="s">
        <v>596</v>
      </c>
      <c r="M64">
        <v>0</v>
      </c>
      <c r="N64">
        <v>1</v>
      </c>
      <c r="O64" s="10"/>
      <c r="P64" t="s">
        <v>1161</v>
      </c>
      <c r="S64" s="9"/>
    </row>
    <row r="65" spans="1:19" ht="15" customHeight="1">
      <c r="A65" t="s">
        <v>441</v>
      </c>
      <c r="C65">
        <v>14</v>
      </c>
      <c r="D65" t="s">
        <v>1250</v>
      </c>
      <c r="E65" s="15" t="s">
        <v>23</v>
      </c>
      <c r="F65" s="15" t="s">
        <v>456</v>
      </c>
      <c r="G65">
        <v>8</v>
      </c>
      <c r="H65">
        <v>1</v>
      </c>
      <c r="I65" s="16">
        <v>196</v>
      </c>
      <c r="J65" s="16">
        <v>213</v>
      </c>
      <c r="K65" t="str">
        <f t="shared" si="2"/>
        <v>hidalgo</v>
      </c>
      <c r="L65" t="s">
        <v>597</v>
      </c>
      <c r="M65">
        <v>1</v>
      </c>
      <c r="N65">
        <v>1</v>
      </c>
      <c r="O65" s="10"/>
      <c r="P65" t="s">
        <v>1162</v>
      </c>
      <c r="S65" s="9"/>
    </row>
    <row r="66" spans="1:19" ht="15" customHeight="1">
      <c r="A66" t="s">
        <v>13</v>
      </c>
      <c r="C66">
        <v>56</v>
      </c>
      <c r="D66" t="s">
        <v>1250</v>
      </c>
      <c r="E66" s="15" t="s">
        <v>96</v>
      </c>
      <c r="F66" s="15" t="s">
        <v>787</v>
      </c>
      <c r="G66">
        <v>2</v>
      </c>
      <c r="H66">
        <v>1</v>
      </c>
      <c r="I66" s="16">
        <v>196</v>
      </c>
      <c r="J66" s="16">
        <v>317</v>
      </c>
      <c r="K66" t="str">
        <f t="shared" si="2"/>
        <v>hospitalgeneral</v>
      </c>
      <c r="L66" t="s">
        <v>528</v>
      </c>
      <c r="M66">
        <v>0</v>
      </c>
      <c r="N66">
        <v>1</v>
      </c>
      <c r="O66" s="10"/>
      <c r="P66" t="s">
        <v>1163</v>
      </c>
      <c r="S66" s="9"/>
    </row>
    <row r="67" spans="1:19" ht="15" customHeight="1">
      <c r="A67" t="s">
        <v>22</v>
      </c>
      <c r="C67">
        <v>96</v>
      </c>
      <c r="D67" t="s">
        <v>1250</v>
      </c>
      <c r="E67" s="15" t="s">
        <v>126</v>
      </c>
      <c r="F67" s="15" t="s">
        <v>788</v>
      </c>
      <c r="G67">
        <v>4</v>
      </c>
      <c r="H67">
        <v>1</v>
      </c>
      <c r="I67" s="16">
        <v>443</v>
      </c>
      <c r="J67" s="16">
        <v>124</v>
      </c>
      <c r="K67" t="str">
        <f t="shared" si="2"/>
        <v>impulsora</v>
      </c>
      <c r="L67" t="s">
        <v>598</v>
      </c>
      <c r="M67">
        <v>0</v>
      </c>
      <c r="N67">
        <v>1</v>
      </c>
      <c r="O67" s="10"/>
      <c r="P67" t="s">
        <v>1164</v>
      </c>
      <c r="S67" s="9"/>
    </row>
    <row r="68" spans="1:19" ht="15" customHeight="1">
      <c r="A68" t="s">
        <v>13</v>
      </c>
      <c r="C68">
        <v>51</v>
      </c>
      <c r="D68" t="s">
        <v>1250</v>
      </c>
      <c r="E68" s="15" t="s">
        <v>92</v>
      </c>
      <c r="F68" s="15" t="s">
        <v>482</v>
      </c>
      <c r="G68">
        <v>2</v>
      </c>
      <c r="H68">
        <v>1</v>
      </c>
      <c r="I68" s="16">
        <v>248</v>
      </c>
      <c r="J68" s="16">
        <v>61</v>
      </c>
      <c r="K68" t="str">
        <f t="shared" si="2"/>
        <v>indiosverdes</v>
      </c>
      <c r="L68" t="s">
        <v>529</v>
      </c>
      <c r="M68">
        <v>0</v>
      </c>
      <c r="N68">
        <v>1</v>
      </c>
      <c r="O68" s="10"/>
      <c r="P68" t="s">
        <v>1165</v>
      </c>
      <c r="S68" s="9"/>
    </row>
    <row r="69" spans="1:19" ht="15" customHeight="1">
      <c r="A69" t="s">
        <v>429</v>
      </c>
      <c r="C69">
        <v>2</v>
      </c>
      <c r="D69" t="s">
        <v>1250</v>
      </c>
      <c r="E69" s="15" t="s">
        <v>418</v>
      </c>
      <c r="F69" s="15" t="s">
        <v>451</v>
      </c>
      <c r="G69">
        <v>6</v>
      </c>
      <c r="H69">
        <v>1</v>
      </c>
      <c r="I69" s="16">
        <v>195</v>
      </c>
      <c r="J69" s="16">
        <v>103</v>
      </c>
      <c r="K69" t="str">
        <f t="shared" si="2"/>
        <v>institutodelpetroleo</v>
      </c>
      <c r="L69" t="s">
        <v>530</v>
      </c>
      <c r="M69">
        <v>1</v>
      </c>
      <c r="N69">
        <v>1</v>
      </c>
      <c r="O69" s="10"/>
      <c r="P69" t="s">
        <v>1166</v>
      </c>
      <c r="S69" s="9"/>
    </row>
    <row r="70" spans="1:19">
      <c r="A70" t="s">
        <v>28</v>
      </c>
      <c r="C70">
        <v>107</v>
      </c>
      <c r="D70" t="s">
        <v>1250</v>
      </c>
      <c r="E70" s="15" t="s">
        <v>133</v>
      </c>
      <c r="F70" s="15" t="s">
        <v>789</v>
      </c>
      <c r="G70">
        <v>6</v>
      </c>
      <c r="H70">
        <v>1</v>
      </c>
      <c r="I70" s="16">
        <v>152</v>
      </c>
      <c r="J70" s="16">
        <v>280</v>
      </c>
      <c r="K70" t="str">
        <f t="shared" si="2"/>
        <v>insurgentes</v>
      </c>
      <c r="L70" t="s">
        <v>599</v>
      </c>
      <c r="M70">
        <v>0</v>
      </c>
      <c r="N70">
        <v>1</v>
      </c>
      <c r="O70" s="10"/>
      <c r="P70" t="s">
        <v>1167</v>
      </c>
      <c r="S70" s="9"/>
    </row>
    <row r="71" spans="1:19">
      <c r="A71" t="s">
        <v>28</v>
      </c>
      <c r="C71">
        <v>109</v>
      </c>
      <c r="D71" t="s">
        <v>1250</v>
      </c>
      <c r="E71" s="15" t="s">
        <v>134</v>
      </c>
      <c r="F71" s="15" t="s">
        <v>790</v>
      </c>
      <c r="G71">
        <v>2</v>
      </c>
      <c r="H71">
        <v>1</v>
      </c>
      <c r="I71" s="16">
        <v>263</v>
      </c>
      <c r="J71" s="16">
        <v>280</v>
      </c>
      <c r="K71" t="str">
        <f t="shared" si="2"/>
        <v>isabellacatolica</v>
      </c>
      <c r="L71" t="s">
        <v>531</v>
      </c>
      <c r="M71">
        <v>0</v>
      </c>
      <c r="N71">
        <v>1</v>
      </c>
      <c r="O71" s="10"/>
      <c r="P71" t="s">
        <v>1168</v>
      </c>
      <c r="S71" s="9"/>
    </row>
    <row r="72" spans="1:19" ht="15" customHeight="1">
      <c r="A72" t="s">
        <v>26</v>
      </c>
      <c r="C72">
        <v>128</v>
      </c>
      <c r="D72" t="s">
        <v>1250</v>
      </c>
      <c r="E72" s="15" t="s">
        <v>149</v>
      </c>
      <c r="F72" s="15" t="s">
        <v>791</v>
      </c>
      <c r="G72">
        <v>4</v>
      </c>
      <c r="H72">
        <v>1</v>
      </c>
      <c r="I72" s="16">
        <v>375</v>
      </c>
      <c r="J72" s="16">
        <v>420</v>
      </c>
      <c r="K72" t="str">
        <f t="shared" si="2"/>
        <v>iztacalco</v>
      </c>
      <c r="L72" t="s">
        <v>600</v>
      </c>
      <c r="M72">
        <v>0</v>
      </c>
      <c r="N72">
        <v>1</v>
      </c>
      <c r="O72" s="10"/>
      <c r="P72" t="s">
        <v>1169</v>
      </c>
      <c r="S72" s="9"/>
    </row>
    <row r="73" spans="1:19" ht="15" customHeight="1">
      <c r="A73" t="s">
        <v>26</v>
      </c>
      <c r="C73">
        <v>133</v>
      </c>
      <c r="D73" t="s">
        <v>1250</v>
      </c>
      <c r="E73" s="15" t="s">
        <v>153</v>
      </c>
      <c r="F73" s="15" t="s">
        <v>792</v>
      </c>
      <c r="G73">
        <v>2</v>
      </c>
      <c r="H73">
        <v>1</v>
      </c>
      <c r="I73" s="16">
        <v>395</v>
      </c>
      <c r="J73" s="16">
        <v>501</v>
      </c>
      <c r="K73" t="str">
        <f t="shared" si="2"/>
        <v>iztapalapa</v>
      </c>
      <c r="L73" t="s">
        <v>601</v>
      </c>
      <c r="M73">
        <v>0</v>
      </c>
      <c r="N73">
        <v>1</v>
      </c>
      <c r="O73" s="10"/>
      <c r="P73" t="s">
        <v>1170</v>
      </c>
      <c r="S73" s="9"/>
    </row>
    <row r="74" spans="1:19" ht="15" customHeight="1">
      <c r="A74" t="s">
        <v>426</v>
      </c>
      <c r="C74">
        <v>23</v>
      </c>
      <c r="D74" t="s">
        <v>1250</v>
      </c>
      <c r="E74" s="15" t="s">
        <v>29</v>
      </c>
      <c r="F74" s="15" t="s">
        <v>793</v>
      </c>
      <c r="G74">
        <v>6</v>
      </c>
      <c r="H74">
        <v>1</v>
      </c>
      <c r="I74" s="16">
        <v>347</v>
      </c>
      <c r="J74" s="16">
        <v>352</v>
      </c>
      <c r="K74" t="str">
        <f t="shared" si="2"/>
        <v>jamaica</v>
      </c>
      <c r="L74" t="s">
        <v>602</v>
      </c>
      <c r="M74">
        <v>1</v>
      </c>
      <c r="N74">
        <v>1</v>
      </c>
      <c r="O74" s="10"/>
      <c r="P74" t="s">
        <v>1171</v>
      </c>
      <c r="S74" s="9"/>
    </row>
    <row r="75" spans="1:19">
      <c r="A75" t="s">
        <v>28</v>
      </c>
      <c r="C75">
        <v>104</v>
      </c>
      <c r="D75" t="s">
        <v>1250</v>
      </c>
      <c r="E75" s="15" t="s">
        <v>3737</v>
      </c>
      <c r="F75" s="15" t="s">
        <v>794</v>
      </c>
      <c r="G75">
        <v>3</v>
      </c>
      <c r="H75">
        <v>1</v>
      </c>
      <c r="I75" s="16">
        <v>97</v>
      </c>
      <c r="J75" s="16">
        <v>332</v>
      </c>
      <c r="K75" t="str">
        <f t="shared" si="2"/>
        <v>juanacatlan</v>
      </c>
      <c r="L75" t="s">
        <v>603</v>
      </c>
      <c r="M75">
        <v>0</v>
      </c>
      <c r="N75">
        <v>1</v>
      </c>
      <c r="O75" s="10"/>
      <c r="P75" t="s">
        <v>1172</v>
      </c>
      <c r="S75" s="9"/>
    </row>
    <row r="76" spans="1:19" ht="15" customHeight="1">
      <c r="A76" t="s">
        <v>13</v>
      </c>
      <c r="C76">
        <v>54</v>
      </c>
      <c r="D76" t="s">
        <v>1250</v>
      </c>
      <c r="E76" s="15" t="s">
        <v>95</v>
      </c>
      <c r="F76" s="15" t="s">
        <v>795</v>
      </c>
      <c r="G76">
        <v>2</v>
      </c>
      <c r="H76">
        <v>1</v>
      </c>
      <c r="I76" s="16">
        <v>196</v>
      </c>
      <c r="J76" s="16">
        <v>245</v>
      </c>
      <c r="K76" t="str">
        <f t="shared" si="2"/>
        <v>juarez</v>
      </c>
      <c r="L76" t="s">
        <v>604</v>
      </c>
      <c r="M76">
        <v>0</v>
      </c>
      <c r="N76">
        <v>1</v>
      </c>
      <c r="O76" s="10"/>
      <c r="P76" t="s">
        <v>1173</v>
      </c>
      <c r="S76" s="9"/>
    </row>
    <row r="77" spans="1:19" ht="15" customHeight="1">
      <c r="A77" t="s">
        <v>348</v>
      </c>
      <c r="C77">
        <v>145</v>
      </c>
      <c r="D77" t="s">
        <v>1250</v>
      </c>
      <c r="E77" s="15" t="s">
        <v>162</v>
      </c>
      <c r="F77" s="15" t="s">
        <v>796</v>
      </c>
      <c r="G77">
        <v>2</v>
      </c>
      <c r="H77">
        <v>1</v>
      </c>
      <c r="I77" s="16">
        <v>492</v>
      </c>
      <c r="J77" s="16">
        <v>499</v>
      </c>
      <c r="K77" t="str">
        <f t="shared" si="2"/>
        <v>lapaz</v>
      </c>
      <c r="L77" t="s">
        <v>532</v>
      </c>
      <c r="M77">
        <v>0</v>
      </c>
      <c r="N77">
        <v>1</v>
      </c>
      <c r="O77" s="10"/>
      <c r="P77" t="s">
        <v>1174</v>
      </c>
      <c r="S77" s="9"/>
    </row>
    <row r="78" spans="1:19" ht="15" customHeight="1">
      <c r="A78" t="s">
        <v>432</v>
      </c>
      <c r="B78" s="13"/>
      <c r="C78">
        <v>5</v>
      </c>
      <c r="D78" t="s">
        <v>1250</v>
      </c>
      <c r="E78" s="15" t="s">
        <v>11</v>
      </c>
      <c r="F78" s="15" t="s">
        <v>797</v>
      </c>
      <c r="G78">
        <v>5</v>
      </c>
      <c r="H78">
        <v>1</v>
      </c>
      <c r="I78" s="16">
        <v>227</v>
      </c>
      <c r="J78" s="16">
        <v>136</v>
      </c>
      <c r="K78" t="str">
        <f t="shared" si="2"/>
        <v>laraza</v>
      </c>
      <c r="L78" t="s">
        <v>533</v>
      </c>
      <c r="M78">
        <v>1</v>
      </c>
      <c r="N78">
        <v>1</v>
      </c>
      <c r="O78" s="10"/>
      <c r="P78" t="s">
        <v>1175</v>
      </c>
      <c r="S78" s="9"/>
    </row>
    <row r="79" spans="1:19" ht="15" customHeight="1">
      <c r="A79" t="s">
        <v>26</v>
      </c>
      <c r="C79">
        <v>126</v>
      </c>
      <c r="D79" t="s">
        <v>1250</v>
      </c>
      <c r="E79" s="15" t="s">
        <v>147</v>
      </c>
      <c r="F79" s="15" t="s">
        <v>798</v>
      </c>
      <c r="G79">
        <v>4</v>
      </c>
      <c r="H79">
        <v>1</v>
      </c>
      <c r="I79" s="16">
        <v>309</v>
      </c>
      <c r="J79" s="16">
        <v>373</v>
      </c>
      <c r="K79" t="str">
        <f t="shared" si="2"/>
        <v>laviga</v>
      </c>
      <c r="L79" t="s">
        <v>534</v>
      </c>
      <c r="M79">
        <v>0</v>
      </c>
      <c r="N79">
        <v>1</v>
      </c>
      <c r="O79" s="10"/>
      <c r="P79" t="s">
        <v>1176</v>
      </c>
      <c r="S79" s="9"/>
    </row>
    <row r="80" spans="1:19" ht="15" customHeight="1">
      <c r="A80" t="s">
        <v>3</v>
      </c>
      <c r="C80">
        <v>31</v>
      </c>
      <c r="D80" t="s">
        <v>1250</v>
      </c>
      <c r="E80" s="15" t="s">
        <v>325</v>
      </c>
      <c r="F80" s="15" t="s">
        <v>799</v>
      </c>
      <c r="G80">
        <v>2</v>
      </c>
      <c r="H80">
        <v>1</v>
      </c>
      <c r="I80" s="16">
        <v>295</v>
      </c>
      <c r="J80" s="16">
        <v>103</v>
      </c>
      <c r="K80" t="s">
        <v>413</v>
      </c>
      <c r="L80" t="s">
        <v>535</v>
      </c>
      <c r="M80">
        <v>0</v>
      </c>
      <c r="N80">
        <v>1</v>
      </c>
      <c r="O80" s="10"/>
      <c r="P80" t="s">
        <v>1177</v>
      </c>
      <c r="S80" s="9"/>
    </row>
    <row r="81" spans="1:19" ht="15" customHeight="1">
      <c r="A81" t="s">
        <v>22</v>
      </c>
      <c r="C81">
        <v>88</v>
      </c>
      <c r="D81" t="s">
        <v>1250</v>
      </c>
      <c r="E81" s="15" t="s">
        <v>124</v>
      </c>
      <c r="F81" s="15" t="s">
        <v>472</v>
      </c>
      <c r="G81" s="10">
        <v>4</v>
      </c>
      <c r="H81">
        <v>1</v>
      </c>
      <c r="I81" s="16">
        <v>286</v>
      </c>
      <c r="J81" s="16">
        <v>193</v>
      </c>
      <c r="K81" t="str">
        <f t="shared" ref="K81:K112" si="3">SUBSTITUTE(SUBSTITUTE(SUBSTITUTE(SUBSTITUTE(SUBSTITUTE(SUBSTITUTE(SUBSTITUTE(SUBSTITUTE(SUBSTITUTE(LOWER(E81)," ",""),".",""),"/",""),"á","a"),"é","e"),"í","i"),"ó","o"),"ú","u"),"ñ","n")</f>
        <v>lagunilla</v>
      </c>
      <c r="L81" t="s">
        <v>605</v>
      </c>
      <c r="M81">
        <v>0</v>
      </c>
      <c r="N81">
        <v>1</v>
      </c>
      <c r="O81" s="10"/>
      <c r="P81" t="s">
        <v>1178</v>
      </c>
      <c r="S81" s="9"/>
    </row>
    <row r="82" spans="1:19" ht="15" customHeight="1">
      <c r="A82" t="s">
        <v>30</v>
      </c>
      <c r="C82">
        <v>118</v>
      </c>
      <c r="D82" t="s">
        <v>1250</v>
      </c>
      <c r="E82" s="15" t="s">
        <v>340</v>
      </c>
      <c r="F82" s="15" t="s">
        <v>800</v>
      </c>
      <c r="G82">
        <v>4</v>
      </c>
      <c r="H82">
        <v>1</v>
      </c>
      <c r="I82" s="16">
        <v>244</v>
      </c>
      <c r="J82" s="16">
        <v>352</v>
      </c>
      <c r="K82" t="str">
        <f t="shared" si="3"/>
        <v>lazarocardenas</v>
      </c>
      <c r="L82" t="s">
        <v>536</v>
      </c>
      <c r="M82">
        <v>0</v>
      </c>
      <c r="N82">
        <v>1</v>
      </c>
      <c r="O82" s="10"/>
      <c r="P82" t="s">
        <v>1179</v>
      </c>
      <c r="S82" s="9"/>
    </row>
    <row r="83" spans="1:19" ht="15" customHeight="1">
      <c r="A83" t="s">
        <v>3</v>
      </c>
      <c r="C83">
        <v>30</v>
      </c>
      <c r="D83" t="s">
        <v>1250</v>
      </c>
      <c r="E83" s="15" t="s">
        <v>77</v>
      </c>
      <c r="F83" s="15" t="s">
        <v>801</v>
      </c>
      <c r="G83">
        <v>2</v>
      </c>
      <c r="H83">
        <v>1</v>
      </c>
      <c r="I83" s="16">
        <v>230</v>
      </c>
      <c r="J83" s="16">
        <v>103</v>
      </c>
      <c r="K83" t="str">
        <f t="shared" si="3"/>
        <v>lindavista</v>
      </c>
      <c r="L83" t="s">
        <v>606</v>
      </c>
      <c r="M83">
        <v>0</v>
      </c>
      <c r="N83">
        <v>1</v>
      </c>
      <c r="O83" s="10"/>
      <c r="P83" t="s">
        <v>1180</v>
      </c>
      <c r="S83" s="9"/>
    </row>
    <row r="84" spans="1:19" ht="15" customHeight="1">
      <c r="A84" t="s">
        <v>348</v>
      </c>
      <c r="C84">
        <v>144</v>
      </c>
      <c r="D84" t="s">
        <v>1250</v>
      </c>
      <c r="E84" s="15" t="s">
        <v>161</v>
      </c>
      <c r="F84" s="15" t="s">
        <v>802</v>
      </c>
      <c r="G84">
        <v>2</v>
      </c>
      <c r="H84">
        <v>1</v>
      </c>
      <c r="I84" s="16">
        <v>478</v>
      </c>
      <c r="J84" s="16">
        <v>485</v>
      </c>
      <c r="K84" t="str">
        <f t="shared" si="3"/>
        <v>losreyes</v>
      </c>
      <c r="L84" t="s">
        <v>537</v>
      </c>
      <c r="M84">
        <v>0</v>
      </c>
      <c r="N84">
        <v>1</v>
      </c>
      <c r="O84" s="10"/>
      <c r="P84" t="s">
        <v>1181</v>
      </c>
      <c r="S84" s="9"/>
    </row>
    <row r="85" spans="1:19" ht="15" customHeight="1">
      <c r="A85" t="s">
        <v>431</v>
      </c>
      <c r="C85">
        <v>4</v>
      </c>
      <c r="D85" t="s">
        <v>1250</v>
      </c>
      <c r="E85" s="15" t="s">
        <v>14</v>
      </c>
      <c r="F85" s="15" t="s">
        <v>803</v>
      </c>
      <c r="G85">
        <v>5</v>
      </c>
      <c r="H85">
        <v>1</v>
      </c>
      <c r="I85" s="16">
        <v>347</v>
      </c>
      <c r="J85" s="16">
        <v>103</v>
      </c>
      <c r="K85" t="str">
        <f t="shared" si="3"/>
        <v>martincarrera</v>
      </c>
      <c r="L85" t="s">
        <v>539</v>
      </c>
      <c r="M85">
        <v>1</v>
      </c>
      <c r="N85">
        <v>1</v>
      </c>
      <c r="O85" s="10"/>
      <c r="P85" t="s">
        <v>1182</v>
      </c>
      <c r="S85" s="9"/>
    </row>
    <row r="86" spans="1:19">
      <c r="A86" t="s">
        <v>28</v>
      </c>
      <c r="C86">
        <v>110</v>
      </c>
      <c r="D86" t="s">
        <v>1250</v>
      </c>
      <c r="E86" s="15" t="s">
        <v>135</v>
      </c>
      <c r="F86" s="15" t="s">
        <v>804</v>
      </c>
      <c r="G86">
        <v>2</v>
      </c>
      <c r="H86">
        <v>1</v>
      </c>
      <c r="I86" s="16">
        <v>308</v>
      </c>
      <c r="J86" s="16">
        <v>271</v>
      </c>
      <c r="K86" t="str">
        <f t="shared" si="3"/>
        <v>merced</v>
      </c>
      <c r="L86" t="s">
        <v>607</v>
      </c>
      <c r="M86">
        <v>0</v>
      </c>
      <c r="N86">
        <v>1</v>
      </c>
      <c r="O86" s="10"/>
      <c r="P86" t="s">
        <v>1183</v>
      </c>
      <c r="S86" s="9"/>
    </row>
    <row r="87" spans="1:19" ht="15" customHeight="1">
      <c r="A87" t="s">
        <v>13</v>
      </c>
      <c r="C87">
        <v>62</v>
      </c>
      <c r="D87" t="s">
        <v>1250</v>
      </c>
      <c r="E87" s="15" t="s">
        <v>102</v>
      </c>
      <c r="F87" s="15" t="s">
        <v>805</v>
      </c>
      <c r="G87">
        <v>3</v>
      </c>
      <c r="H87">
        <v>1</v>
      </c>
      <c r="I87" s="16">
        <v>196</v>
      </c>
      <c r="J87" s="16">
        <v>483</v>
      </c>
      <c r="K87" t="str">
        <f t="shared" si="3"/>
        <v>miguelangeldequevedo</v>
      </c>
      <c r="L87" t="s">
        <v>540</v>
      </c>
      <c r="M87">
        <v>0</v>
      </c>
      <c r="N87">
        <v>1</v>
      </c>
      <c r="O87" s="10"/>
      <c r="P87" t="s">
        <v>1184</v>
      </c>
      <c r="S87" s="9"/>
    </row>
    <row r="88" spans="1:19" ht="15" customHeight="1">
      <c r="A88" t="s">
        <v>12</v>
      </c>
      <c r="C88">
        <v>45</v>
      </c>
      <c r="D88" t="s">
        <v>1250</v>
      </c>
      <c r="E88" s="15" t="s">
        <v>88</v>
      </c>
      <c r="F88" s="15" t="s">
        <v>806</v>
      </c>
      <c r="G88">
        <v>2</v>
      </c>
      <c r="H88">
        <v>1</v>
      </c>
      <c r="I88" s="16">
        <v>240</v>
      </c>
      <c r="J88" s="16">
        <v>150</v>
      </c>
      <c r="K88" t="str">
        <f t="shared" si="3"/>
        <v>misterios</v>
      </c>
      <c r="L88" t="s">
        <v>608</v>
      </c>
      <c r="M88">
        <v>0</v>
      </c>
      <c r="N88">
        <v>1</v>
      </c>
      <c r="O88" s="10"/>
      <c r="P88" t="s">
        <v>1185</v>
      </c>
      <c r="S88" s="9"/>
    </row>
    <row r="89" spans="1:19" ht="15" customHeight="1">
      <c r="A89" t="s">
        <v>4</v>
      </c>
      <c r="C89">
        <v>41</v>
      </c>
      <c r="D89" t="s">
        <v>1250</v>
      </c>
      <c r="E89" s="15" t="s">
        <v>163</v>
      </c>
      <c r="F89" s="15" t="s">
        <v>807</v>
      </c>
      <c r="G89">
        <v>2</v>
      </c>
      <c r="H89">
        <v>1</v>
      </c>
      <c r="I89" s="16">
        <v>79</v>
      </c>
      <c r="J89" s="16">
        <v>421</v>
      </c>
      <c r="K89" t="str">
        <f t="shared" si="3"/>
        <v>mixcoac</v>
      </c>
      <c r="L89" t="s">
        <v>609</v>
      </c>
      <c r="M89">
        <v>0</v>
      </c>
      <c r="N89">
        <v>1</v>
      </c>
      <c r="O89" s="10"/>
      <c r="P89" t="s">
        <v>1186</v>
      </c>
      <c r="S89" s="9"/>
    </row>
    <row r="90" spans="1:19" ht="15" customHeight="1">
      <c r="A90" t="s">
        <v>30</v>
      </c>
      <c r="C90">
        <v>119</v>
      </c>
      <c r="D90" t="s">
        <v>1250</v>
      </c>
      <c r="E90" s="15" t="s">
        <v>142</v>
      </c>
      <c r="F90" s="15" t="s">
        <v>808</v>
      </c>
      <c r="G90">
        <v>2</v>
      </c>
      <c r="H90">
        <v>1</v>
      </c>
      <c r="I90" s="16">
        <v>379</v>
      </c>
      <c r="J90" s="16">
        <v>352</v>
      </c>
      <c r="K90" t="str">
        <f t="shared" si="3"/>
        <v>mixiuhca</v>
      </c>
      <c r="L90" t="s">
        <v>610</v>
      </c>
      <c r="M90">
        <v>0</v>
      </c>
      <c r="N90">
        <v>1</v>
      </c>
      <c r="O90" s="10"/>
      <c r="P90" t="s">
        <v>1187</v>
      </c>
      <c r="S90" s="9"/>
    </row>
    <row r="91" spans="1:19">
      <c r="A91" t="s">
        <v>28</v>
      </c>
      <c r="C91">
        <v>111</v>
      </c>
      <c r="D91" t="s">
        <v>1250</v>
      </c>
      <c r="E91" s="15" t="s">
        <v>136</v>
      </c>
      <c r="F91" s="15" t="s">
        <v>809</v>
      </c>
      <c r="G91">
        <v>2</v>
      </c>
      <c r="H91">
        <v>1</v>
      </c>
      <c r="I91" s="16">
        <v>388</v>
      </c>
      <c r="J91" s="16">
        <v>253</v>
      </c>
      <c r="K91" t="str">
        <f t="shared" si="3"/>
        <v>moctezuma</v>
      </c>
      <c r="L91" t="s">
        <v>538</v>
      </c>
      <c r="M91">
        <v>0</v>
      </c>
      <c r="N91">
        <v>1</v>
      </c>
      <c r="O91" s="10"/>
      <c r="P91" t="s">
        <v>1188</v>
      </c>
      <c r="S91" s="9"/>
    </row>
    <row r="92" spans="1:19" ht="15" customHeight="1">
      <c r="A92" t="s">
        <v>437</v>
      </c>
      <c r="C92">
        <v>10</v>
      </c>
      <c r="D92" t="s">
        <v>1250</v>
      </c>
      <c r="E92" s="15" t="s">
        <v>19</v>
      </c>
      <c r="F92" s="15" t="s">
        <v>810</v>
      </c>
      <c r="G92">
        <v>4</v>
      </c>
      <c r="H92">
        <v>1</v>
      </c>
      <c r="I92" s="16">
        <v>347</v>
      </c>
      <c r="J92" s="16">
        <v>210</v>
      </c>
      <c r="K92" t="str">
        <f t="shared" si="3"/>
        <v>morelos</v>
      </c>
      <c r="L92" t="s">
        <v>611</v>
      </c>
      <c r="M92">
        <v>1</v>
      </c>
      <c r="N92">
        <v>1</v>
      </c>
      <c r="O92" s="10"/>
      <c r="P92" t="s">
        <v>1189</v>
      </c>
      <c r="S92" s="9"/>
    </row>
    <row r="93" spans="1:19" ht="15" customHeight="1">
      <c r="A93" t="s">
        <v>22</v>
      </c>
      <c r="C93">
        <v>98</v>
      </c>
      <c r="D93" t="s">
        <v>1250</v>
      </c>
      <c r="E93" s="15" t="s">
        <v>3739</v>
      </c>
      <c r="F93" s="15" t="s">
        <v>811</v>
      </c>
      <c r="G93">
        <v>4</v>
      </c>
      <c r="H93">
        <v>1</v>
      </c>
      <c r="I93" s="16">
        <v>443</v>
      </c>
      <c r="J93" s="16">
        <v>91</v>
      </c>
      <c r="K93" t="str">
        <f t="shared" si="3"/>
        <v>muzquiz</v>
      </c>
      <c r="L93" t="s">
        <v>612</v>
      </c>
      <c r="M93">
        <v>0</v>
      </c>
      <c r="N93">
        <v>1</v>
      </c>
      <c r="O93" s="10"/>
      <c r="P93" t="s">
        <v>1190</v>
      </c>
      <c r="S93" s="9"/>
    </row>
    <row r="94" spans="1:19" ht="15" customHeight="1">
      <c r="A94" t="s">
        <v>32</v>
      </c>
      <c r="C94">
        <v>83</v>
      </c>
      <c r="D94" t="s">
        <v>1250</v>
      </c>
      <c r="E94" s="15" t="s">
        <v>119</v>
      </c>
      <c r="F94" s="15" t="s">
        <v>469</v>
      </c>
      <c r="G94">
        <v>2</v>
      </c>
      <c r="H94">
        <v>1</v>
      </c>
      <c r="I94" s="16">
        <v>289</v>
      </c>
      <c r="J94" s="16">
        <v>434</v>
      </c>
      <c r="K94" t="str">
        <f t="shared" si="3"/>
        <v>nativitas</v>
      </c>
      <c r="L94" t="s">
        <v>613</v>
      </c>
      <c r="M94">
        <v>0</v>
      </c>
      <c r="N94">
        <v>1</v>
      </c>
      <c r="O94" s="10"/>
      <c r="P94" t="s">
        <v>1191</v>
      </c>
      <c r="S94" s="9"/>
    </row>
    <row r="95" spans="1:19" ht="15" customHeight="1">
      <c r="A95" t="s">
        <v>22</v>
      </c>
      <c r="C95">
        <v>95</v>
      </c>
      <c r="D95" t="s">
        <v>1250</v>
      </c>
      <c r="E95" s="15" t="s">
        <v>3740</v>
      </c>
      <c r="F95" s="15" t="s">
        <v>812</v>
      </c>
      <c r="G95">
        <v>4</v>
      </c>
      <c r="H95">
        <v>1</v>
      </c>
      <c r="I95" s="16">
        <v>443</v>
      </c>
      <c r="J95" s="16">
        <v>141</v>
      </c>
      <c r="K95" t="str">
        <f t="shared" si="3"/>
        <v>nezahualcoyotl</v>
      </c>
      <c r="L95" t="s">
        <v>614</v>
      </c>
      <c r="M95">
        <v>0</v>
      </c>
      <c r="N95">
        <v>1</v>
      </c>
      <c r="O95" s="10"/>
      <c r="P95" t="s">
        <v>1192</v>
      </c>
      <c r="S95" s="9"/>
    </row>
    <row r="96" spans="1:19" ht="15" customHeight="1">
      <c r="A96" t="s">
        <v>13</v>
      </c>
      <c r="C96">
        <v>55</v>
      </c>
      <c r="D96" t="s">
        <v>1250</v>
      </c>
      <c r="E96" s="15" t="s">
        <v>330</v>
      </c>
      <c r="F96" s="15" t="s">
        <v>813</v>
      </c>
      <c r="G96">
        <v>4</v>
      </c>
      <c r="H96">
        <v>1</v>
      </c>
      <c r="I96" s="16">
        <v>196</v>
      </c>
      <c r="J96" s="16">
        <v>298</v>
      </c>
      <c r="K96" t="str">
        <f t="shared" si="3"/>
        <v>ninosheroes</v>
      </c>
      <c r="L96" t="s">
        <v>541</v>
      </c>
      <c r="M96">
        <v>0</v>
      </c>
      <c r="N96">
        <v>1</v>
      </c>
      <c r="O96" s="10"/>
      <c r="P96" t="s">
        <v>1193</v>
      </c>
      <c r="S96" s="9"/>
    </row>
    <row r="97" spans="1:19" ht="15" customHeight="1">
      <c r="A97" t="s">
        <v>32</v>
      </c>
      <c r="C97">
        <v>74</v>
      </c>
      <c r="D97" t="s">
        <v>1250</v>
      </c>
      <c r="E97" s="15" t="s">
        <v>112</v>
      </c>
      <c r="F97" s="15" t="s">
        <v>467</v>
      </c>
      <c r="G97">
        <v>3</v>
      </c>
      <c r="H97">
        <v>1</v>
      </c>
      <c r="I97" s="17">
        <v>133</v>
      </c>
      <c r="J97" s="16">
        <v>213</v>
      </c>
      <c r="K97" t="str">
        <f t="shared" si="3"/>
        <v>normal</v>
      </c>
      <c r="L97" t="s">
        <v>615</v>
      </c>
      <c r="M97">
        <v>0</v>
      </c>
      <c r="N97">
        <v>1</v>
      </c>
      <c r="O97" s="10"/>
      <c r="P97" t="s">
        <v>1194</v>
      </c>
      <c r="S97" s="9"/>
    </row>
    <row r="98" spans="1:19" ht="15" customHeight="1">
      <c r="A98" t="s">
        <v>3</v>
      </c>
      <c r="C98">
        <v>28</v>
      </c>
      <c r="D98" t="s">
        <v>1250</v>
      </c>
      <c r="E98" s="15" t="s">
        <v>75</v>
      </c>
      <c r="F98" s="15" t="s">
        <v>814</v>
      </c>
      <c r="G98">
        <v>2</v>
      </c>
      <c r="H98">
        <v>1</v>
      </c>
      <c r="I98" s="16">
        <v>154</v>
      </c>
      <c r="J98" s="16">
        <v>103</v>
      </c>
      <c r="K98" t="str">
        <f t="shared" si="3"/>
        <v>norte45</v>
      </c>
      <c r="L98" t="s">
        <v>542</v>
      </c>
      <c r="M98">
        <v>0</v>
      </c>
      <c r="N98">
        <v>1</v>
      </c>
      <c r="O98" s="10"/>
      <c r="P98" t="s">
        <v>1195</v>
      </c>
      <c r="S98" s="9"/>
    </row>
    <row r="99" spans="1:19" ht="15" customHeight="1">
      <c r="A99" t="s">
        <v>26</v>
      </c>
      <c r="C99">
        <v>125</v>
      </c>
      <c r="D99" t="s">
        <v>1250</v>
      </c>
      <c r="E99" s="15" t="s">
        <v>146</v>
      </c>
      <c r="F99" s="15" t="s">
        <v>815</v>
      </c>
      <c r="G99">
        <v>4</v>
      </c>
      <c r="H99">
        <v>1</v>
      </c>
      <c r="I99" s="16">
        <v>259</v>
      </c>
      <c r="J99" s="16">
        <v>321</v>
      </c>
      <c r="K99" t="str">
        <f t="shared" si="3"/>
        <v>obrera</v>
      </c>
      <c r="L99" t="s">
        <v>616</v>
      </c>
      <c r="M99">
        <v>0</v>
      </c>
      <c r="N99">
        <v>1</v>
      </c>
      <c r="O99" s="10"/>
      <c r="P99" t="s">
        <v>1196</v>
      </c>
      <c r="S99" s="9"/>
    </row>
    <row r="100" spans="1:19">
      <c r="A100" t="s">
        <v>28</v>
      </c>
      <c r="C100">
        <v>103</v>
      </c>
      <c r="D100" t="s">
        <v>1250</v>
      </c>
      <c r="E100" s="15" t="s">
        <v>130</v>
      </c>
      <c r="F100" s="15" t="s">
        <v>816</v>
      </c>
      <c r="G100">
        <v>4</v>
      </c>
      <c r="H100">
        <v>1</v>
      </c>
      <c r="I100" s="16">
        <v>59</v>
      </c>
      <c r="J100" s="16">
        <v>374</v>
      </c>
      <c r="K100" t="str">
        <f t="shared" si="3"/>
        <v>observatorio</v>
      </c>
      <c r="L100" t="s">
        <v>617</v>
      </c>
      <c r="M100">
        <v>0</v>
      </c>
      <c r="N100">
        <v>1</v>
      </c>
      <c r="O100" s="10"/>
      <c r="P100" t="s">
        <v>1197</v>
      </c>
      <c r="S100" s="9"/>
    </row>
    <row r="101" spans="1:19" ht="15" customHeight="1">
      <c r="A101" t="s">
        <v>434</v>
      </c>
      <c r="C101">
        <v>7</v>
      </c>
      <c r="D101" t="s">
        <v>1250</v>
      </c>
      <c r="E101" s="15" t="s">
        <v>321</v>
      </c>
      <c r="F101" s="15" t="s">
        <v>454</v>
      </c>
      <c r="G101">
        <v>4</v>
      </c>
      <c r="H101">
        <v>1</v>
      </c>
      <c r="I101" s="17">
        <v>422</v>
      </c>
      <c r="J101" s="16">
        <v>206</v>
      </c>
      <c r="K101" t="str">
        <f t="shared" si="3"/>
        <v>oceania</v>
      </c>
      <c r="L101" t="s">
        <v>618</v>
      </c>
      <c r="M101">
        <v>1</v>
      </c>
      <c r="N101">
        <v>1</v>
      </c>
      <c r="O101" s="10"/>
      <c r="P101" t="s">
        <v>1198</v>
      </c>
      <c r="S101" s="9"/>
    </row>
    <row r="102" spans="1:19" ht="15" customHeight="1">
      <c r="A102" t="s">
        <v>22</v>
      </c>
      <c r="C102">
        <v>100</v>
      </c>
      <c r="D102" t="s">
        <v>1250</v>
      </c>
      <c r="E102" s="15" t="s">
        <v>337</v>
      </c>
      <c r="F102" s="15" t="s">
        <v>817</v>
      </c>
      <c r="G102">
        <v>2</v>
      </c>
      <c r="H102">
        <v>1</v>
      </c>
      <c r="I102" s="16">
        <v>443</v>
      </c>
      <c r="J102" s="16">
        <v>57</v>
      </c>
      <c r="K102" t="str">
        <f t="shared" si="3"/>
        <v>olimpica</v>
      </c>
      <c r="L102" t="s">
        <v>619</v>
      </c>
      <c r="M102">
        <v>0</v>
      </c>
      <c r="N102">
        <v>1</v>
      </c>
      <c r="O102" s="10"/>
      <c r="P102" t="s">
        <v>1199</v>
      </c>
      <c r="S102" s="9"/>
    </row>
    <row r="103" spans="1:19" ht="15" customHeight="1">
      <c r="A103" t="s">
        <v>32</v>
      </c>
      <c r="C103">
        <v>70</v>
      </c>
      <c r="D103" t="s">
        <v>1250</v>
      </c>
      <c r="E103" s="15" t="s">
        <v>109</v>
      </c>
      <c r="F103" s="15" t="s">
        <v>818</v>
      </c>
      <c r="G103">
        <v>3</v>
      </c>
      <c r="H103">
        <v>1</v>
      </c>
      <c r="I103" s="16">
        <v>52</v>
      </c>
      <c r="J103" s="16">
        <v>176</v>
      </c>
      <c r="K103" t="str">
        <f t="shared" si="3"/>
        <v>panteones</v>
      </c>
      <c r="L103" t="s">
        <v>620</v>
      </c>
      <c r="M103">
        <v>0</v>
      </c>
      <c r="N103">
        <v>1</v>
      </c>
      <c r="O103" s="10"/>
      <c r="P103" t="s">
        <v>1200</v>
      </c>
      <c r="S103" s="9"/>
    </row>
    <row r="104" spans="1:19">
      <c r="A104" t="s">
        <v>439</v>
      </c>
      <c r="C104">
        <v>12</v>
      </c>
      <c r="D104" t="s">
        <v>1250</v>
      </c>
      <c r="E104" s="15" t="s">
        <v>323</v>
      </c>
      <c r="F104" s="15" t="s">
        <v>483</v>
      </c>
      <c r="G104">
        <v>8</v>
      </c>
      <c r="H104">
        <v>1</v>
      </c>
      <c r="I104" s="16">
        <v>453</v>
      </c>
      <c r="J104" s="16">
        <v>331</v>
      </c>
      <c r="K104" t="str">
        <f t="shared" si="3"/>
        <v>pantitlan</v>
      </c>
      <c r="L104" t="s">
        <v>621</v>
      </c>
      <c r="M104">
        <v>1</v>
      </c>
      <c r="N104">
        <v>1</v>
      </c>
      <c r="O104" s="10"/>
      <c r="P104" t="s">
        <v>1201</v>
      </c>
      <c r="S104" s="9"/>
    </row>
    <row r="105" spans="1:19" ht="15" customHeight="1">
      <c r="A105" t="s">
        <v>30</v>
      </c>
      <c r="C105">
        <v>116</v>
      </c>
      <c r="D105" t="s">
        <v>1250</v>
      </c>
      <c r="E105" s="15" t="s">
        <v>140</v>
      </c>
      <c r="F105" s="15" t="s">
        <v>819</v>
      </c>
      <c r="G105">
        <v>2</v>
      </c>
      <c r="H105">
        <v>1</v>
      </c>
      <c r="I105" s="16">
        <v>120</v>
      </c>
      <c r="J105" s="16">
        <v>352</v>
      </c>
      <c r="K105" t="str">
        <f t="shared" si="3"/>
        <v>patriotismo</v>
      </c>
      <c r="L105" t="s">
        <v>622</v>
      </c>
      <c r="M105">
        <v>0</v>
      </c>
      <c r="N105">
        <v>1</v>
      </c>
      <c r="O105" s="10"/>
      <c r="P105" t="s">
        <v>1202</v>
      </c>
      <c r="S105" s="9"/>
    </row>
    <row r="106" spans="1:19" ht="15" customHeight="1">
      <c r="A106" t="s">
        <v>348</v>
      </c>
      <c r="C106">
        <v>141</v>
      </c>
      <c r="D106" t="s">
        <v>1250</v>
      </c>
      <c r="E106" s="15" t="s">
        <v>346</v>
      </c>
      <c r="F106" s="15" t="s">
        <v>820</v>
      </c>
      <c r="G106">
        <v>2</v>
      </c>
      <c r="H106">
        <v>1</v>
      </c>
      <c r="I106" s="16">
        <v>471</v>
      </c>
      <c r="J106" s="16">
        <v>428</v>
      </c>
      <c r="K106" t="str">
        <f t="shared" si="3"/>
        <v>penonviejo</v>
      </c>
      <c r="L106" t="s">
        <v>543</v>
      </c>
      <c r="M106">
        <v>0</v>
      </c>
      <c r="N106">
        <v>1</v>
      </c>
      <c r="O106" s="10"/>
      <c r="P106" t="s">
        <v>1203</v>
      </c>
      <c r="S106" s="9"/>
    </row>
    <row r="107" spans="1:19">
      <c r="A107" t="s">
        <v>446</v>
      </c>
      <c r="C107">
        <v>19</v>
      </c>
      <c r="D107" t="s">
        <v>1250</v>
      </c>
      <c r="E107" s="15" t="s">
        <v>35</v>
      </c>
      <c r="F107" s="15" t="s">
        <v>821</v>
      </c>
      <c r="G107">
        <v>4</v>
      </c>
      <c r="H107">
        <v>1</v>
      </c>
      <c r="I107" s="16">
        <v>289</v>
      </c>
      <c r="J107" s="16">
        <v>280</v>
      </c>
      <c r="K107" t="str">
        <f t="shared" si="3"/>
        <v>pinosuarez</v>
      </c>
      <c r="L107" t="s">
        <v>544</v>
      </c>
      <c r="M107">
        <v>1</v>
      </c>
      <c r="N107">
        <v>1</v>
      </c>
      <c r="O107" s="10"/>
      <c r="P107" t="s">
        <v>1204</v>
      </c>
      <c r="S107" s="9"/>
    </row>
    <row r="108" spans="1:19" ht="15" customHeight="1">
      <c r="A108" t="s">
        <v>22</v>
      </c>
      <c r="C108">
        <v>101</v>
      </c>
      <c r="D108" t="s">
        <v>1250</v>
      </c>
      <c r="E108" s="15" t="s">
        <v>338</v>
      </c>
      <c r="F108" s="15" t="s">
        <v>822</v>
      </c>
      <c r="G108">
        <v>2</v>
      </c>
      <c r="H108">
        <v>1</v>
      </c>
      <c r="I108" s="16">
        <v>443</v>
      </c>
      <c r="J108" s="16">
        <v>40</v>
      </c>
      <c r="K108" t="str">
        <f t="shared" si="3"/>
        <v>plazaaragon</v>
      </c>
      <c r="L108" t="s">
        <v>545</v>
      </c>
      <c r="M108">
        <v>0</v>
      </c>
      <c r="N108">
        <v>1</v>
      </c>
      <c r="O108" s="10"/>
      <c r="P108" t="s">
        <v>1205</v>
      </c>
      <c r="S108" s="9"/>
    </row>
    <row r="109" spans="1:19" ht="15" customHeight="1">
      <c r="A109" t="s">
        <v>4</v>
      </c>
      <c r="C109">
        <v>36</v>
      </c>
      <c r="D109" t="s">
        <v>1250</v>
      </c>
      <c r="E109" s="15" t="s">
        <v>81</v>
      </c>
      <c r="F109" s="15" t="s">
        <v>823</v>
      </c>
      <c r="G109">
        <v>2</v>
      </c>
      <c r="H109">
        <v>1</v>
      </c>
      <c r="I109" s="16">
        <v>79</v>
      </c>
      <c r="J109" s="16">
        <v>250</v>
      </c>
      <c r="K109" t="str">
        <f t="shared" si="3"/>
        <v>polanco</v>
      </c>
      <c r="L109" t="s">
        <v>623</v>
      </c>
      <c r="M109">
        <v>0</v>
      </c>
      <c r="N109">
        <v>1</v>
      </c>
      <c r="O109" s="10"/>
      <c r="P109" t="s">
        <v>1206</v>
      </c>
      <c r="S109" s="9"/>
    </row>
    <row r="110" spans="1:19" ht="15" customHeight="1">
      <c r="A110" t="s">
        <v>12</v>
      </c>
      <c r="C110">
        <v>43</v>
      </c>
      <c r="D110" t="s">
        <v>1250</v>
      </c>
      <c r="E110" s="15" t="s">
        <v>327</v>
      </c>
      <c r="F110" s="15" t="s">
        <v>824</v>
      </c>
      <c r="G110">
        <v>2</v>
      </c>
      <c r="H110">
        <v>1</v>
      </c>
      <c r="I110" s="16">
        <v>173</v>
      </c>
      <c r="J110" s="16">
        <v>69</v>
      </c>
      <c r="K110" t="str">
        <f t="shared" si="3"/>
        <v>politecnico</v>
      </c>
      <c r="L110" t="s">
        <v>624</v>
      </c>
      <c r="M110">
        <v>0</v>
      </c>
      <c r="N110">
        <v>1</v>
      </c>
      <c r="O110" s="10"/>
      <c r="P110" t="s">
        <v>1207</v>
      </c>
      <c r="S110" s="9"/>
    </row>
    <row r="111" spans="1:19" ht="15" customHeight="1">
      <c r="A111" t="s">
        <v>32</v>
      </c>
      <c r="C111">
        <v>72</v>
      </c>
      <c r="D111" t="s">
        <v>1250</v>
      </c>
      <c r="E111" s="15" t="s">
        <v>110</v>
      </c>
      <c r="F111" s="15" t="s">
        <v>825</v>
      </c>
      <c r="G111">
        <v>2</v>
      </c>
      <c r="H111">
        <v>1</v>
      </c>
      <c r="I111" s="16">
        <v>101</v>
      </c>
      <c r="J111" s="16">
        <v>200</v>
      </c>
      <c r="K111" t="str">
        <f t="shared" si="3"/>
        <v>popotla</v>
      </c>
      <c r="L111" t="s">
        <v>625</v>
      </c>
      <c r="M111">
        <v>0</v>
      </c>
      <c r="N111">
        <v>1</v>
      </c>
      <c r="O111" s="10"/>
      <c r="P111" t="s">
        <v>1208</v>
      </c>
      <c r="S111" s="9"/>
    </row>
    <row r="112" spans="1:19" ht="15" customHeight="1">
      <c r="A112" t="s">
        <v>32</v>
      </c>
      <c r="C112">
        <v>84</v>
      </c>
      <c r="D112" t="s">
        <v>1250</v>
      </c>
      <c r="E112" s="15" t="s">
        <v>120</v>
      </c>
      <c r="F112" s="15" t="s">
        <v>826</v>
      </c>
      <c r="G112">
        <v>2</v>
      </c>
      <c r="H112">
        <v>1</v>
      </c>
      <c r="I112" s="16">
        <v>289</v>
      </c>
      <c r="J112" s="16">
        <v>452</v>
      </c>
      <c r="K112" t="str">
        <f t="shared" si="3"/>
        <v>portales</v>
      </c>
      <c r="L112" t="s">
        <v>626</v>
      </c>
      <c r="M112">
        <v>0</v>
      </c>
      <c r="N112">
        <v>1</v>
      </c>
      <c r="O112" s="10"/>
      <c r="P112" t="s">
        <v>1209</v>
      </c>
      <c r="S112" s="9"/>
    </row>
    <row r="113" spans="1:19" ht="15" customHeight="1">
      <c r="A113" t="s">
        <v>13</v>
      </c>
      <c r="C113">
        <v>52</v>
      </c>
      <c r="D113" t="s">
        <v>1250</v>
      </c>
      <c r="E113" s="15" t="s">
        <v>93</v>
      </c>
      <c r="F113" s="15" t="s">
        <v>827</v>
      </c>
      <c r="G113">
        <v>4</v>
      </c>
      <c r="H113">
        <v>1</v>
      </c>
      <c r="I113" s="16">
        <v>242</v>
      </c>
      <c r="J113" s="16">
        <v>120</v>
      </c>
      <c r="K113" t="str">
        <f t="shared" ref="K113:K147" si="4">SUBSTITUTE(SUBSTITUTE(SUBSTITUTE(SUBSTITUTE(SUBSTITUTE(SUBSTITUTE(SUBSTITUTE(SUBSTITUTE(SUBSTITUTE(LOWER(E113)," ",""),".",""),"/",""),"á","a"),"é","e"),"í","i"),"ó","o"),"ú","u"),"ñ","n")</f>
        <v>potrero</v>
      </c>
      <c r="L113" t="s">
        <v>627</v>
      </c>
      <c r="M113">
        <v>0</v>
      </c>
      <c r="N113">
        <v>1</v>
      </c>
      <c r="O113" s="10"/>
      <c r="P113" t="s">
        <v>1210</v>
      </c>
      <c r="S113" s="9"/>
    </row>
    <row r="114" spans="1:19" ht="15" customHeight="1">
      <c r="A114" t="s">
        <v>30</v>
      </c>
      <c r="C114">
        <v>122</v>
      </c>
      <c r="D114" t="s">
        <v>1250</v>
      </c>
      <c r="E114" s="15" t="s">
        <v>144</v>
      </c>
      <c r="F114" s="15" t="s">
        <v>828</v>
      </c>
      <c r="G114">
        <v>2</v>
      </c>
      <c r="H114">
        <v>1</v>
      </c>
      <c r="I114" s="16">
        <v>442</v>
      </c>
      <c r="J114" s="16">
        <v>344</v>
      </c>
      <c r="K114" t="str">
        <f t="shared" si="4"/>
        <v>puebla</v>
      </c>
      <c r="L114" t="s">
        <v>628</v>
      </c>
      <c r="M114">
        <v>0</v>
      </c>
      <c r="N114">
        <v>1</v>
      </c>
      <c r="O114" s="10"/>
      <c r="P114" t="s">
        <v>1211</v>
      </c>
      <c r="S114" s="9"/>
    </row>
    <row r="115" spans="1:19" ht="15" customHeight="1">
      <c r="A115" t="s">
        <v>4</v>
      </c>
      <c r="C115">
        <v>34</v>
      </c>
      <c r="D115" t="s">
        <v>1250</v>
      </c>
      <c r="E115" s="15" t="s">
        <v>326</v>
      </c>
      <c r="F115" s="15" t="s">
        <v>829</v>
      </c>
      <c r="G115">
        <v>2</v>
      </c>
      <c r="H115">
        <v>1</v>
      </c>
      <c r="I115" s="16">
        <v>79</v>
      </c>
      <c r="J115" s="16">
        <v>153</v>
      </c>
      <c r="K115" t="str">
        <f t="shared" si="4"/>
        <v>refineria</v>
      </c>
      <c r="L115" t="s">
        <v>629</v>
      </c>
      <c r="M115">
        <v>0</v>
      </c>
      <c r="N115">
        <v>1</v>
      </c>
      <c r="O115" s="10"/>
      <c r="P115" t="s">
        <v>1212</v>
      </c>
      <c r="S115" s="9"/>
    </row>
    <row r="116" spans="1:19" ht="15" customHeight="1">
      <c r="A116" t="s">
        <v>32</v>
      </c>
      <c r="C116">
        <v>76</v>
      </c>
      <c r="D116" t="s">
        <v>1250</v>
      </c>
      <c r="E116" s="15" t="s">
        <v>114</v>
      </c>
      <c r="F116" s="15" t="s">
        <v>830</v>
      </c>
      <c r="G116">
        <v>3</v>
      </c>
      <c r="H116">
        <v>1</v>
      </c>
      <c r="I116" s="16">
        <v>177</v>
      </c>
      <c r="J116" s="16">
        <v>213</v>
      </c>
      <c r="K116" t="str">
        <f t="shared" si="4"/>
        <v>revolucion</v>
      </c>
      <c r="L116" t="s">
        <v>630</v>
      </c>
      <c r="M116">
        <v>0</v>
      </c>
      <c r="N116">
        <v>1</v>
      </c>
      <c r="O116" s="10"/>
      <c r="P116" t="s">
        <v>1213</v>
      </c>
      <c r="S116" s="9"/>
    </row>
    <row r="117" spans="1:19" ht="15" customHeight="1">
      <c r="A117" t="s">
        <v>22</v>
      </c>
      <c r="C117">
        <v>90</v>
      </c>
      <c r="D117" t="s">
        <v>1250</v>
      </c>
      <c r="E117" s="15" t="s">
        <v>420</v>
      </c>
      <c r="F117" s="15" t="s">
        <v>473</v>
      </c>
      <c r="G117">
        <v>4</v>
      </c>
      <c r="H117">
        <v>1</v>
      </c>
      <c r="I117" s="16">
        <v>386</v>
      </c>
      <c r="J117" s="16">
        <v>230</v>
      </c>
      <c r="K117" t="str">
        <f t="shared" si="4"/>
        <v>ricardofloresmagon</v>
      </c>
      <c r="L117" t="s">
        <v>546</v>
      </c>
      <c r="M117">
        <v>0</v>
      </c>
      <c r="N117">
        <v>1</v>
      </c>
      <c r="O117" s="10"/>
      <c r="P117" t="s">
        <v>1214</v>
      </c>
      <c r="S117" s="9"/>
    </row>
    <row r="118" spans="1:19" ht="15" customHeight="1">
      <c r="A118" t="s">
        <v>22</v>
      </c>
      <c r="C118">
        <v>97</v>
      </c>
      <c r="D118" t="s">
        <v>1250</v>
      </c>
      <c r="E118" s="15" t="s">
        <v>127</v>
      </c>
      <c r="F118" s="15" t="s">
        <v>831</v>
      </c>
      <c r="G118">
        <v>2</v>
      </c>
      <c r="H118">
        <v>1</v>
      </c>
      <c r="I118" s="16">
        <v>443</v>
      </c>
      <c r="J118" s="16">
        <v>108</v>
      </c>
      <c r="K118" t="str">
        <f t="shared" si="4"/>
        <v>riodelosremedios</v>
      </c>
      <c r="L118" t="s">
        <v>547</v>
      </c>
      <c r="M118">
        <v>0</v>
      </c>
      <c r="N118">
        <v>1</v>
      </c>
      <c r="O118" s="10"/>
      <c r="P118" t="s">
        <v>1215</v>
      </c>
      <c r="S118" s="9"/>
    </row>
    <row r="119" spans="1:19" ht="15" customHeight="1">
      <c r="A119" t="s">
        <v>22</v>
      </c>
      <c r="C119">
        <v>91</v>
      </c>
      <c r="D119" t="s">
        <v>1250</v>
      </c>
      <c r="E119" s="15" t="s">
        <v>417</v>
      </c>
      <c r="F119" s="15" t="s">
        <v>832</v>
      </c>
      <c r="G119">
        <v>2</v>
      </c>
      <c r="H119">
        <v>1</v>
      </c>
      <c r="I119" s="16">
        <v>408</v>
      </c>
      <c r="J119" s="16">
        <v>220</v>
      </c>
      <c r="K119" t="str">
        <f t="shared" si="4"/>
        <v>romerorubio</v>
      </c>
      <c r="L119" t="s">
        <v>548</v>
      </c>
      <c r="M119">
        <v>0</v>
      </c>
      <c r="N119">
        <v>1</v>
      </c>
      <c r="O119" s="10"/>
      <c r="P119" t="s">
        <v>1216</v>
      </c>
      <c r="S119" s="9"/>
    </row>
    <row r="120" spans="1:19">
      <c r="A120" t="s">
        <v>445</v>
      </c>
      <c r="C120">
        <v>18</v>
      </c>
      <c r="D120" t="s">
        <v>1250</v>
      </c>
      <c r="E120" s="15" t="s">
        <v>34</v>
      </c>
      <c r="F120" s="15" t="s">
        <v>459</v>
      </c>
      <c r="G120">
        <v>4</v>
      </c>
      <c r="H120">
        <v>1</v>
      </c>
      <c r="I120" s="16">
        <v>236</v>
      </c>
      <c r="J120" s="16">
        <v>280</v>
      </c>
      <c r="K120" t="str">
        <f t="shared" si="4"/>
        <v>saltodelagua</v>
      </c>
      <c r="L120" t="s">
        <v>549</v>
      </c>
      <c r="M120">
        <v>1</v>
      </c>
      <c r="N120">
        <v>1</v>
      </c>
      <c r="O120" s="10"/>
      <c r="P120" t="s">
        <v>1217</v>
      </c>
      <c r="S120" s="9"/>
    </row>
    <row r="121" spans="1:19" ht="15" customHeight="1">
      <c r="A121" t="s">
        <v>4</v>
      </c>
      <c r="C121">
        <v>40</v>
      </c>
      <c r="D121" t="s">
        <v>1250</v>
      </c>
      <c r="E121" s="15" t="s">
        <v>415</v>
      </c>
      <c r="F121" s="15" t="s">
        <v>833</v>
      </c>
      <c r="G121">
        <v>2</v>
      </c>
      <c r="H121">
        <v>1</v>
      </c>
      <c r="I121" s="16">
        <v>79</v>
      </c>
      <c r="J121" s="16">
        <v>402</v>
      </c>
      <c r="K121" t="str">
        <f t="shared" si="4"/>
        <v>sanantonio</v>
      </c>
      <c r="L121" t="s">
        <v>550</v>
      </c>
      <c r="M121">
        <v>0</v>
      </c>
      <c r="N121">
        <v>1</v>
      </c>
      <c r="O121" s="10"/>
      <c r="P121" t="s">
        <v>1218</v>
      </c>
      <c r="S121" s="9"/>
    </row>
    <row r="122" spans="1:19" ht="15" customHeight="1">
      <c r="A122" t="s">
        <v>32</v>
      </c>
      <c r="C122">
        <v>79</v>
      </c>
      <c r="D122" t="s">
        <v>1250</v>
      </c>
      <c r="E122" s="15" t="s">
        <v>116</v>
      </c>
      <c r="F122" s="15" t="s">
        <v>834</v>
      </c>
      <c r="G122">
        <v>2</v>
      </c>
      <c r="H122">
        <v>1</v>
      </c>
      <c r="I122" s="16">
        <v>289</v>
      </c>
      <c r="J122" s="16">
        <v>325</v>
      </c>
      <c r="K122" t="str">
        <f t="shared" si="4"/>
        <v>sanantonioabad</v>
      </c>
      <c r="L122" t="s">
        <v>551</v>
      </c>
      <c r="M122">
        <v>0</v>
      </c>
      <c r="N122">
        <v>1</v>
      </c>
      <c r="O122" s="10"/>
      <c r="P122" t="s">
        <v>1219</v>
      </c>
      <c r="S122" s="9"/>
    </row>
    <row r="123" spans="1:19" ht="15" customHeight="1">
      <c r="A123" t="s">
        <v>32</v>
      </c>
      <c r="C123">
        <v>75</v>
      </c>
      <c r="D123" t="s">
        <v>1250</v>
      </c>
      <c r="E123" s="15" t="s">
        <v>113</v>
      </c>
      <c r="F123" s="15" t="s">
        <v>835</v>
      </c>
      <c r="G123">
        <v>2</v>
      </c>
      <c r="H123">
        <v>1</v>
      </c>
      <c r="I123" s="16">
        <v>153</v>
      </c>
      <c r="J123" s="16">
        <v>213</v>
      </c>
      <c r="K123" t="str">
        <f t="shared" si="4"/>
        <v>sancosme</v>
      </c>
      <c r="L123" t="s">
        <v>552</v>
      </c>
      <c r="M123">
        <v>0</v>
      </c>
      <c r="N123">
        <v>1</v>
      </c>
      <c r="O123" s="10"/>
      <c r="P123" t="s">
        <v>1220</v>
      </c>
      <c r="S123" s="9"/>
    </row>
    <row r="124" spans="1:19" ht="15" customHeight="1">
      <c r="A124" t="s">
        <v>4</v>
      </c>
      <c r="C124">
        <v>35</v>
      </c>
      <c r="D124" t="s">
        <v>1250</v>
      </c>
      <c r="E124" s="15" t="s">
        <v>80</v>
      </c>
      <c r="F124" s="15" t="s">
        <v>836</v>
      </c>
      <c r="G124">
        <v>2</v>
      </c>
      <c r="H124">
        <v>1</v>
      </c>
      <c r="I124" s="16">
        <v>79</v>
      </c>
      <c r="J124" s="16">
        <v>217</v>
      </c>
      <c r="K124" t="str">
        <f t="shared" si="4"/>
        <v>sanjoaquin</v>
      </c>
      <c r="L124" t="s">
        <v>553</v>
      </c>
      <c r="M124">
        <v>0</v>
      </c>
      <c r="N124">
        <v>1</v>
      </c>
      <c r="O124" s="10"/>
      <c r="P124" t="s">
        <v>1221</v>
      </c>
      <c r="S124" s="9"/>
    </row>
    <row r="125" spans="1:19" ht="15" customHeight="1">
      <c r="A125" t="s">
        <v>26</v>
      </c>
      <c r="C125">
        <v>123</v>
      </c>
      <c r="D125" t="s">
        <v>1250</v>
      </c>
      <c r="E125" s="15" t="s">
        <v>342</v>
      </c>
      <c r="F125" s="15" t="s">
        <v>837</v>
      </c>
      <c r="G125">
        <v>4</v>
      </c>
      <c r="H125">
        <v>1</v>
      </c>
      <c r="I125" s="16">
        <v>236</v>
      </c>
      <c r="J125" s="16">
        <v>244</v>
      </c>
      <c r="K125" t="str">
        <f t="shared" si="4"/>
        <v>sanjuandeletran</v>
      </c>
      <c r="L125" t="s">
        <v>554</v>
      </c>
      <c r="M125">
        <v>0</v>
      </c>
      <c r="N125">
        <v>1</v>
      </c>
      <c r="O125" s="10"/>
      <c r="P125" t="s">
        <v>1222</v>
      </c>
      <c r="S125" s="9"/>
    </row>
    <row r="126" spans="1:19">
      <c r="A126" t="s">
        <v>438</v>
      </c>
      <c r="C126">
        <v>11</v>
      </c>
      <c r="D126" t="s">
        <v>1250</v>
      </c>
      <c r="E126" s="15" t="s">
        <v>322</v>
      </c>
      <c r="F126" s="15" t="s">
        <v>455</v>
      </c>
      <c r="G126">
        <v>3</v>
      </c>
      <c r="H126">
        <v>1</v>
      </c>
      <c r="I126" s="16">
        <v>367</v>
      </c>
      <c r="J126" s="16">
        <v>230</v>
      </c>
      <c r="K126" t="str">
        <f t="shared" si="4"/>
        <v>sanlazaro</v>
      </c>
      <c r="L126" t="s">
        <v>555</v>
      </c>
      <c r="M126">
        <v>1</v>
      </c>
      <c r="N126">
        <v>1</v>
      </c>
      <c r="O126" s="10"/>
      <c r="P126" t="s">
        <v>1223</v>
      </c>
      <c r="S126" s="9"/>
    </row>
    <row r="127" spans="1:19" ht="15" customHeight="1">
      <c r="A127" t="s">
        <v>4</v>
      </c>
      <c r="C127">
        <v>39</v>
      </c>
      <c r="D127" t="s">
        <v>1250</v>
      </c>
      <c r="E127" s="15" t="s">
        <v>414</v>
      </c>
      <c r="F127" s="15" t="s">
        <v>838</v>
      </c>
      <c r="G127">
        <v>2</v>
      </c>
      <c r="H127">
        <v>1</v>
      </c>
      <c r="I127" s="16">
        <v>79</v>
      </c>
      <c r="J127" s="16">
        <v>384</v>
      </c>
      <c r="K127" t="str">
        <f t="shared" si="4"/>
        <v>sanpedrodelospinos</v>
      </c>
      <c r="L127" t="s">
        <v>556</v>
      </c>
      <c r="M127">
        <v>0</v>
      </c>
      <c r="N127">
        <v>1</v>
      </c>
      <c r="O127" s="10"/>
      <c r="P127" t="s">
        <v>1224</v>
      </c>
      <c r="S127" s="9"/>
    </row>
    <row r="128" spans="1:19" ht="15" customHeight="1">
      <c r="A128" t="s">
        <v>427</v>
      </c>
      <c r="C128">
        <v>24</v>
      </c>
      <c r="D128" t="s">
        <v>1250</v>
      </c>
      <c r="E128" s="15" t="s">
        <v>411</v>
      </c>
      <c r="F128" s="15" t="s">
        <v>839</v>
      </c>
      <c r="G128">
        <v>3</v>
      </c>
      <c r="H128">
        <v>1</v>
      </c>
      <c r="I128" s="16">
        <v>347</v>
      </c>
      <c r="J128" s="16">
        <v>382</v>
      </c>
      <c r="K128" t="str">
        <f t="shared" si="4"/>
        <v>santaanita</v>
      </c>
      <c r="L128" t="s">
        <v>557</v>
      </c>
      <c r="M128">
        <v>1</v>
      </c>
      <c r="N128">
        <v>1</v>
      </c>
      <c r="O128" s="10"/>
      <c r="P128" t="s">
        <v>1225</v>
      </c>
      <c r="S128" s="9"/>
    </row>
    <row r="129" spans="1:19" ht="15" customHeight="1">
      <c r="A129" t="s">
        <v>348</v>
      </c>
      <c r="C129">
        <v>143</v>
      </c>
      <c r="D129" t="s">
        <v>1250</v>
      </c>
      <c r="E129" s="15" t="s">
        <v>416</v>
      </c>
      <c r="F129" s="15" t="s">
        <v>840</v>
      </c>
      <c r="G129">
        <v>3</v>
      </c>
      <c r="H129">
        <v>1</v>
      </c>
      <c r="I129" s="16">
        <v>471</v>
      </c>
      <c r="J129" s="16">
        <v>465</v>
      </c>
      <c r="K129" t="str">
        <f t="shared" si="4"/>
        <v>santamarta</v>
      </c>
      <c r="L129" t="s">
        <v>558</v>
      </c>
      <c r="M129">
        <v>0</v>
      </c>
      <c r="N129">
        <v>1</v>
      </c>
      <c r="O129" s="10"/>
      <c r="P129" t="s">
        <v>1226</v>
      </c>
      <c r="S129" s="9"/>
    </row>
    <row r="130" spans="1:19">
      <c r="A130" t="s">
        <v>28</v>
      </c>
      <c r="C130">
        <v>106</v>
      </c>
      <c r="D130" t="s">
        <v>1250</v>
      </c>
      <c r="E130" s="15" t="s">
        <v>132</v>
      </c>
      <c r="F130" s="15" t="s">
        <v>841</v>
      </c>
      <c r="G130">
        <v>3</v>
      </c>
      <c r="H130">
        <v>1</v>
      </c>
      <c r="I130" s="16">
        <v>132</v>
      </c>
      <c r="J130" s="16">
        <v>295</v>
      </c>
      <c r="K130" t="str">
        <f t="shared" si="4"/>
        <v>sevilla</v>
      </c>
      <c r="L130" t="s">
        <v>631</v>
      </c>
      <c r="M130">
        <v>0</v>
      </c>
      <c r="N130">
        <v>1</v>
      </c>
      <c r="O130" s="10"/>
      <c r="P130" t="s">
        <v>1227</v>
      </c>
      <c r="S130" s="9"/>
    </row>
    <row r="131" spans="1:19" ht="15" customHeight="1">
      <c r="A131" t="s">
        <v>440</v>
      </c>
      <c r="C131">
        <v>13</v>
      </c>
      <c r="D131" t="s">
        <v>1250</v>
      </c>
      <c r="E131" s="15" t="s">
        <v>9</v>
      </c>
      <c r="F131" s="15" t="s">
        <v>842</v>
      </c>
      <c r="G131">
        <v>5</v>
      </c>
      <c r="H131">
        <v>1</v>
      </c>
      <c r="I131" s="16">
        <v>79</v>
      </c>
      <c r="J131" s="16">
        <v>176</v>
      </c>
      <c r="K131" t="str">
        <f t="shared" si="4"/>
        <v>tacuba</v>
      </c>
      <c r="L131" t="s">
        <v>632</v>
      </c>
      <c r="M131">
        <v>1</v>
      </c>
      <c r="N131">
        <v>1</v>
      </c>
      <c r="O131" s="10"/>
      <c r="P131" t="s">
        <v>1228</v>
      </c>
      <c r="S131" s="9"/>
    </row>
    <row r="132" spans="1:19">
      <c r="A132" t="s">
        <v>443</v>
      </c>
      <c r="C132">
        <v>16</v>
      </c>
      <c r="D132" t="s">
        <v>1250</v>
      </c>
      <c r="E132" s="15" t="s">
        <v>31</v>
      </c>
      <c r="F132" s="15" t="s">
        <v>458</v>
      </c>
      <c r="G132">
        <v>8</v>
      </c>
      <c r="H132">
        <v>1</v>
      </c>
      <c r="I132" s="16">
        <v>79</v>
      </c>
      <c r="J132" s="16">
        <v>352</v>
      </c>
      <c r="K132" t="str">
        <f t="shared" si="4"/>
        <v>tacubaya</v>
      </c>
      <c r="L132" t="s">
        <v>633</v>
      </c>
      <c r="M132">
        <v>1</v>
      </c>
      <c r="N132">
        <v>1</v>
      </c>
      <c r="O132" s="10"/>
      <c r="P132" t="s">
        <v>1229</v>
      </c>
      <c r="S132" s="9"/>
    </row>
    <row r="133" spans="1:19" ht="15" customHeight="1">
      <c r="A133" t="s">
        <v>16</v>
      </c>
      <c r="C133">
        <v>65</v>
      </c>
      <c r="D133" t="s">
        <v>1250</v>
      </c>
      <c r="E133" s="15" t="s">
        <v>331</v>
      </c>
      <c r="F133" s="15" t="s">
        <v>843</v>
      </c>
      <c r="G133">
        <v>2</v>
      </c>
      <c r="H133">
        <v>1</v>
      </c>
      <c r="I133" s="16">
        <v>347</v>
      </c>
      <c r="J133" s="16">
        <v>119</v>
      </c>
      <c r="K133" t="str">
        <f t="shared" si="4"/>
        <v>talisman</v>
      </c>
      <c r="L133" t="s">
        <v>634</v>
      </c>
      <c r="M133">
        <v>0</v>
      </c>
      <c r="N133">
        <v>1</v>
      </c>
      <c r="O133" s="10"/>
      <c r="P133" t="s">
        <v>1230</v>
      </c>
      <c r="S133" s="9"/>
    </row>
    <row r="134" spans="1:19" ht="15" customHeight="1">
      <c r="A134" t="s">
        <v>32</v>
      </c>
      <c r="C134">
        <v>86</v>
      </c>
      <c r="D134" t="s">
        <v>1250</v>
      </c>
      <c r="E134" s="15" t="s">
        <v>122</v>
      </c>
      <c r="F134" s="15" t="s">
        <v>844</v>
      </c>
      <c r="G134">
        <v>2</v>
      </c>
      <c r="H134">
        <v>1</v>
      </c>
      <c r="I134" s="16">
        <v>289</v>
      </c>
      <c r="J134" s="16">
        <v>508</v>
      </c>
      <c r="K134" t="str">
        <f t="shared" si="4"/>
        <v>tasquena</v>
      </c>
      <c r="L134" t="s">
        <v>635</v>
      </c>
      <c r="M134">
        <v>0</v>
      </c>
      <c r="N134">
        <v>1</v>
      </c>
      <c r="O134" s="10"/>
      <c r="P134" t="s">
        <v>1231</v>
      </c>
      <c r="S134" s="9"/>
    </row>
    <row r="135" spans="1:19" ht="15" customHeight="1">
      <c r="A135" t="s">
        <v>348</v>
      </c>
      <c r="C135">
        <v>139</v>
      </c>
      <c r="D135" t="s">
        <v>1250</v>
      </c>
      <c r="E135" s="15" t="s">
        <v>157</v>
      </c>
      <c r="F135" s="15" t="s">
        <v>845</v>
      </c>
      <c r="G135">
        <v>2</v>
      </c>
      <c r="H135">
        <v>1</v>
      </c>
      <c r="I135" s="16">
        <v>471</v>
      </c>
      <c r="J135" s="16">
        <v>391</v>
      </c>
      <c r="K135" t="str">
        <f t="shared" si="4"/>
        <v>tepalcates</v>
      </c>
      <c r="L135" t="s">
        <v>636</v>
      </c>
      <c r="M135">
        <v>0</v>
      </c>
      <c r="N135">
        <v>1</v>
      </c>
      <c r="O135" s="10"/>
      <c r="P135" t="s">
        <v>1232</v>
      </c>
      <c r="S135" s="9"/>
    </row>
    <row r="136" spans="1:19" ht="15" customHeight="1">
      <c r="A136" t="s">
        <v>22</v>
      </c>
      <c r="C136">
        <v>89</v>
      </c>
      <c r="D136" t="s">
        <v>1250</v>
      </c>
      <c r="E136" s="15" t="s">
        <v>125</v>
      </c>
      <c r="F136" s="15" t="s">
        <v>846</v>
      </c>
      <c r="G136">
        <v>4</v>
      </c>
      <c r="H136">
        <v>1</v>
      </c>
      <c r="I136" s="16">
        <v>316</v>
      </c>
      <c r="J136" s="16">
        <v>193</v>
      </c>
      <c r="K136" t="str">
        <f t="shared" si="4"/>
        <v>tepito</v>
      </c>
      <c r="L136" t="s">
        <v>637</v>
      </c>
      <c r="M136">
        <v>0</v>
      </c>
      <c r="N136">
        <v>1</v>
      </c>
      <c r="O136" s="10"/>
      <c r="P136" t="s">
        <v>1233</v>
      </c>
      <c r="S136" s="9"/>
    </row>
    <row r="137" spans="1:19" ht="15" customHeight="1">
      <c r="A137" t="s">
        <v>12</v>
      </c>
      <c r="C137">
        <v>49</v>
      </c>
      <c r="D137" t="s">
        <v>1250</v>
      </c>
      <c r="E137" s="15" t="s">
        <v>90</v>
      </c>
      <c r="F137" s="15" t="s">
        <v>847</v>
      </c>
      <c r="G137">
        <v>2</v>
      </c>
      <c r="H137">
        <v>1</v>
      </c>
      <c r="I137" s="16">
        <v>453</v>
      </c>
      <c r="J137" s="16">
        <v>256</v>
      </c>
      <c r="K137" t="str">
        <f t="shared" si="4"/>
        <v>terminalaerea</v>
      </c>
      <c r="L137" t="s">
        <v>559</v>
      </c>
      <c r="M137">
        <v>0</v>
      </c>
      <c r="N137">
        <v>1</v>
      </c>
      <c r="O137" s="10"/>
      <c r="P137" t="s">
        <v>1234</v>
      </c>
      <c r="S137" s="9"/>
    </row>
    <row r="138" spans="1:19" ht="15" customHeight="1">
      <c r="A138" t="s">
        <v>3</v>
      </c>
      <c r="C138">
        <v>25</v>
      </c>
      <c r="D138" t="s">
        <v>1250</v>
      </c>
      <c r="E138" s="15" t="s">
        <v>73</v>
      </c>
      <c r="F138" s="15" t="s">
        <v>848</v>
      </c>
      <c r="G138">
        <v>2</v>
      </c>
      <c r="H138">
        <v>1</v>
      </c>
      <c r="I138" s="16">
        <v>89</v>
      </c>
      <c r="J138" s="16">
        <v>93</v>
      </c>
      <c r="K138" t="str">
        <f t="shared" si="4"/>
        <v>tezozomoc</v>
      </c>
      <c r="L138" t="s">
        <v>638</v>
      </c>
      <c r="M138">
        <v>0</v>
      </c>
      <c r="N138">
        <v>1</v>
      </c>
      <c r="O138" s="10"/>
      <c r="P138" t="s">
        <v>1235</v>
      </c>
      <c r="S138" s="9"/>
    </row>
    <row r="139" spans="1:19" ht="15" customHeight="1">
      <c r="A139" t="s">
        <v>13</v>
      </c>
      <c r="C139">
        <v>53</v>
      </c>
      <c r="D139" t="s">
        <v>1250</v>
      </c>
      <c r="E139" s="15" t="s">
        <v>94</v>
      </c>
      <c r="F139" s="15" t="s">
        <v>849</v>
      </c>
      <c r="G139">
        <v>2</v>
      </c>
      <c r="H139">
        <v>1</v>
      </c>
      <c r="I139" s="16">
        <v>213</v>
      </c>
      <c r="J139" s="16">
        <v>150</v>
      </c>
      <c r="K139" t="str">
        <f t="shared" si="4"/>
        <v>tlatelolco</v>
      </c>
      <c r="L139" t="s">
        <v>639</v>
      </c>
      <c r="M139">
        <v>0</v>
      </c>
      <c r="N139">
        <v>1</v>
      </c>
      <c r="O139" s="10"/>
      <c r="P139" t="s">
        <v>1236</v>
      </c>
      <c r="S139" s="9"/>
    </row>
    <row r="140" spans="1:19" ht="15" customHeight="1">
      <c r="A140" t="s">
        <v>26</v>
      </c>
      <c r="C140">
        <v>135</v>
      </c>
      <c r="D140" t="s">
        <v>1250</v>
      </c>
      <c r="E140" s="15" t="s">
        <v>421</v>
      </c>
      <c r="F140" s="15" t="s">
        <v>476</v>
      </c>
      <c r="G140">
        <v>4</v>
      </c>
      <c r="H140">
        <v>1</v>
      </c>
      <c r="I140" s="16">
        <v>431</v>
      </c>
      <c r="J140" s="16">
        <v>501</v>
      </c>
      <c r="K140" t="str">
        <f t="shared" si="4"/>
        <v>uami</v>
      </c>
      <c r="L140" t="s">
        <v>560</v>
      </c>
      <c r="M140">
        <v>0</v>
      </c>
      <c r="N140">
        <v>1</v>
      </c>
      <c r="O140" s="10"/>
      <c r="P140" t="s">
        <v>1237</v>
      </c>
      <c r="S140" s="9"/>
    </row>
    <row r="141" spans="1:19" ht="15" customHeight="1">
      <c r="A141" t="s">
        <v>13</v>
      </c>
      <c r="C141">
        <v>64</v>
      </c>
      <c r="D141" t="s">
        <v>1250</v>
      </c>
      <c r="E141" s="18" t="s">
        <v>104</v>
      </c>
      <c r="F141" s="15" t="s">
        <v>850</v>
      </c>
      <c r="G141">
        <v>2</v>
      </c>
      <c r="H141">
        <v>1</v>
      </c>
      <c r="I141" s="16">
        <v>196</v>
      </c>
      <c r="J141" s="16">
        <v>521</v>
      </c>
      <c r="K141" t="str">
        <f t="shared" si="4"/>
        <v>universidad</v>
      </c>
      <c r="L141" t="s">
        <v>640</v>
      </c>
      <c r="M141">
        <v>0</v>
      </c>
      <c r="N141">
        <v>1</v>
      </c>
      <c r="O141" s="10"/>
      <c r="P141" t="s">
        <v>1238</v>
      </c>
      <c r="S141" s="9"/>
    </row>
    <row r="142" spans="1:19" ht="15" customHeight="1">
      <c r="A142" t="s">
        <v>12</v>
      </c>
      <c r="C142">
        <v>46</v>
      </c>
      <c r="D142" t="s">
        <v>1250</v>
      </c>
      <c r="E142" s="15" t="s">
        <v>89</v>
      </c>
      <c r="F142" s="15" t="s">
        <v>851</v>
      </c>
      <c r="G142">
        <v>2</v>
      </c>
      <c r="H142">
        <v>1</v>
      </c>
      <c r="I142" s="16">
        <v>297</v>
      </c>
      <c r="J142" s="16">
        <v>161</v>
      </c>
      <c r="K142" t="str">
        <f t="shared" si="4"/>
        <v>vallegomez</v>
      </c>
      <c r="L142" t="s">
        <v>561</v>
      </c>
      <c r="M142">
        <v>0</v>
      </c>
      <c r="N142">
        <v>1</v>
      </c>
      <c r="O142" s="10"/>
      <c r="P142" t="s">
        <v>1239</v>
      </c>
      <c r="S142" s="9"/>
    </row>
    <row r="143" spans="1:19" ht="15" customHeight="1">
      <c r="A143" t="s">
        <v>3</v>
      </c>
      <c r="C143">
        <v>29</v>
      </c>
      <c r="D143" t="s">
        <v>1250</v>
      </c>
      <c r="E143" s="15" t="s">
        <v>76</v>
      </c>
      <c r="F143" s="15" t="s">
        <v>852</v>
      </c>
      <c r="G143">
        <v>2</v>
      </c>
      <c r="H143">
        <v>1</v>
      </c>
      <c r="I143" s="16">
        <v>170</v>
      </c>
      <c r="J143" s="16">
        <v>103</v>
      </c>
      <c r="K143" t="str">
        <f t="shared" si="4"/>
        <v>vallejo</v>
      </c>
      <c r="L143" t="s">
        <v>641</v>
      </c>
      <c r="M143">
        <v>0</v>
      </c>
      <c r="N143">
        <v>1</v>
      </c>
      <c r="O143" s="10"/>
      <c r="P143" t="s">
        <v>1240</v>
      </c>
      <c r="S143" s="9"/>
    </row>
    <row r="144" spans="1:19" ht="15" customHeight="1">
      <c r="A144" t="s">
        <v>30</v>
      </c>
      <c r="C144">
        <v>120</v>
      </c>
      <c r="D144" t="s">
        <v>1250</v>
      </c>
      <c r="E144" s="15" t="s">
        <v>341</v>
      </c>
      <c r="F144" s="15" t="s">
        <v>853</v>
      </c>
      <c r="G144">
        <v>2</v>
      </c>
      <c r="H144">
        <v>1</v>
      </c>
      <c r="I144" s="16">
        <v>401</v>
      </c>
      <c r="J144" s="16">
        <v>352</v>
      </c>
      <c r="K144" t="str">
        <f t="shared" si="4"/>
        <v>velodromo</v>
      </c>
      <c r="L144" t="s">
        <v>642</v>
      </c>
      <c r="M144">
        <v>0</v>
      </c>
      <c r="N144">
        <v>1</v>
      </c>
      <c r="O144" s="10"/>
      <c r="P144" t="s">
        <v>1241</v>
      </c>
      <c r="S144" s="9"/>
    </row>
    <row r="145" spans="1:19" ht="15" customHeight="1">
      <c r="A145" t="s">
        <v>32</v>
      </c>
      <c r="C145">
        <v>80</v>
      </c>
      <c r="D145" t="s">
        <v>1250</v>
      </c>
      <c r="E145" s="15" t="s">
        <v>117</v>
      </c>
      <c r="F145" s="15" t="s">
        <v>854</v>
      </c>
      <c r="G145">
        <v>2</v>
      </c>
      <c r="H145">
        <v>1</v>
      </c>
      <c r="I145" s="16">
        <v>289</v>
      </c>
      <c r="J145" s="16">
        <v>378</v>
      </c>
      <c r="K145" t="str">
        <f t="shared" si="4"/>
        <v>viaducto</v>
      </c>
      <c r="L145" t="s">
        <v>643</v>
      </c>
      <c r="M145">
        <v>0</v>
      </c>
      <c r="N145">
        <v>1</v>
      </c>
      <c r="O145" s="10"/>
      <c r="P145" t="s">
        <v>1242</v>
      </c>
      <c r="S145" s="9"/>
    </row>
    <row r="146" spans="1:19" ht="15" customHeight="1">
      <c r="A146" t="s">
        <v>22</v>
      </c>
      <c r="C146">
        <v>94</v>
      </c>
      <c r="D146" t="s">
        <v>1250</v>
      </c>
      <c r="E146" s="15" t="s">
        <v>336</v>
      </c>
      <c r="F146" s="15" t="s">
        <v>855</v>
      </c>
      <c r="G146">
        <v>2</v>
      </c>
      <c r="H146">
        <v>1</v>
      </c>
      <c r="I146" s="16">
        <v>443</v>
      </c>
      <c r="J146" s="16">
        <v>158</v>
      </c>
      <c r="K146" t="str">
        <f t="shared" si="4"/>
        <v>villadearagon</v>
      </c>
      <c r="L146" t="s">
        <v>562</v>
      </c>
      <c r="M146">
        <v>0</v>
      </c>
      <c r="N146">
        <v>1</v>
      </c>
      <c r="O146" s="10"/>
      <c r="P146" t="s">
        <v>1243</v>
      </c>
      <c r="S146" s="9"/>
    </row>
    <row r="147" spans="1:19" ht="15" customHeight="1">
      <c r="A147" t="s">
        <v>32</v>
      </c>
      <c r="C147">
        <v>82</v>
      </c>
      <c r="D147" t="s">
        <v>1250</v>
      </c>
      <c r="E147" s="15" t="s">
        <v>333</v>
      </c>
      <c r="F147" s="15" t="s">
        <v>468</v>
      </c>
      <c r="G147">
        <v>2</v>
      </c>
      <c r="H147">
        <v>1</v>
      </c>
      <c r="I147" s="16">
        <v>289</v>
      </c>
      <c r="J147" s="16">
        <v>414</v>
      </c>
      <c r="K147" t="str">
        <f t="shared" si="4"/>
        <v>villadecortes</v>
      </c>
      <c r="L147" t="s">
        <v>563</v>
      </c>
      <c r="M147">
        <v>0</v>
      </c>
      <c r="N147">
        <v>1</v>
      </c>
      <c r="O147" s="10"/>
      <c r="P147" t="s">
        <v>1244</v>
      </c>
      <c r="S147" s="9"/>
    </row>
    <row r="148" spans="1:19" ht="15" customHeight="1">
      <c r="A148" t="s">
        <v>13</v>
      </c>
      <c r="C148">
        <v>61</v>
      </c>
      <c r="D148" t="s">
        <v>1250</v>
      </c>
      <c r="E148" s="15" t="s">
        <v>101</v>
      </c>
      <c r="F148" s="15" t="s">
        <v>856</v>
      </c>
      <c r="G148">
        <v>2</v>
      </c>
      <c r="H148">
        <v>1</v>
      </c>
      <c r="I148" s="16">
        <v>196</v>
      </c>
      <c r="J148" s="16">
        <v>465</v>
      </c>
      <c r="K148" t="s">
        <v>410</v>
      </c>
      <c r="L148" t="s">
        <v>410</v>
      </c>
      <c r="M148">
        <v>0</v>
      </c>
      <c r="N148">
        <v>1</v>
      </c>
      <c r="O148" s="10"/>
      <c r="P148" t="s">
        <v>1245</v>
      </c>
      <c r="S148" s="9"/>
    </row>
    <row r="149" spans="1:19" ht="15" customHeight="1">
      <c r="A149" t="s">
        <v>32</v>
      </c>
      <c r="C149">
        <v>81</v>
      </c>
      <c r="D149" t="s">
        <v>1250</v>
      </c>
      <c r="E149" s="15" t="s">
        <v>118</v>
      </c>
      <c r="F149" s="15" t="s">
        <v>857</v>
      </c>
      <c r="G149">
        <v>2</v>
      </c>
      <c r="H149">
        <v>1</v>
      </c>
      <c r="I149" s="16">
        <v>289</v>
      </c>
      <c r="J149" s="16">
        <v>396</v>
      </c>
      <c r="K149" t="str">
        <f>SUBSTITUTE(SUBSTITUTE(SUBSTITUTE(SUBSTITUTE(SUBSTITUTE(SUBSTITUTE(SUBSTITUTE(SUBSTITUTE(SUBSTITUTE(LOWER(E149)," ",""),".",""),"/",""),"á","a"),"é","e"),"í","i"),"ó","o"),"ú","u"),"ñ","n")</f>
        <v>xola</v>
      </c>
      <c r="L149" t="s">
        <v>644</v>
      </c>
      <c r="M149">
        <v>0</v>
      </c>
      <c r="N149">
        <v>1</v>
      </c>
      <c r="O149" s="10"/>
      <c r="P149" t="s">
        <v>1246</v>
      </c>
      <c r="S149" s="9"/>
    </row>
    <row r="150" spans="1:19" ht="15" customHeight="1">
      <c r="A150" t="s">
        <v>13</v>
      </c>
      <c r="C150">
        <v>146</v>
      </c>
      <c r="D150" t="s">
        <v>1250</v>
      </c>
      <c r="E150" s="15" t="s">
        <v>422</v>
      </c>
      <c r="F150" s="15" t="s">
        <v>858</v>
      </c>
      <c r="G150">
        <v>4</v>
      </c>
      <c r="H150">
        <v>1</v>
      </c>
      <c r="I150" s="16">
        <v>196</v>
      </c>
      <c r="J150" s="16">
        <v>427</v>
      </c>
      <c r="K150" t="str">
        <f>SUBSTITUTE(SUBSTITUTE(SUBSTITUTE(SUBSTITUTE(SUBSTITUTE(SUBSTITUTE(SUBSTITUTE(SUBSTITUTE(SUBSTITUTE(LOWER(E150)," ",""),".",""),"/",""),"á","a"),"é","e"),"í","i"),"ó","o"),"ú","u"),"ñ","n")</f>
        <v>zapata</v>
      </c>
      <c r="L150" t="s">
        <v>645</v>
      </c>
      <c r="M150">
        <v>0</v>
      </c>
      <c r="N150">
        <v>1</v>
      </c>
      <c r="O150" s="10"/>
      <c r="P150" t="s">
        <v>1247</v>
      </c>
      <c r="S150" s="9"/>
    </row>
    <row r="151" spans="1:19">
      <c r="A151" t="s">
        <v>28</v>
      </c>
      <c r="C151">
        <v>115</v>
      </c>
      <c r="D151" t="s">
        <v>1250</v>
      </c>
      <c r="E151" s="15" t="s">
        <v>139</v>
      </c>
      <c r="F151" s="15" t="s">
        <v>859</v>
      </c>
      <c r="G151">
        <v>2</v>
      </c>
      <c r="H151">
        <v>1</v>
      </c>
      <c r="I151" s="16">
        <v>426</v>
      </c>
      <c r="J151" s="16">
        <v>325</v>
      </c>
      <c r="K151" t="str">
        <f>SUBSTITUTE(SUBSTITUTE(SUBSTITUTE(SUBSTITUTE(SUBSTITUTE(SUBSTITUTE(SUBSTITUTE(SUBSTITUTE(SUBSTITUTE(LOWER(E151)," ",""),".",""),"/",""),"á","a"),"é","e"),"í","i"),"ó","o"),"ú","u"),"ñ","n")</f>
        <v>zaragoza</v>
      </c>
      <c r="L151" t="s">
        <v>646</v>
      </c>
      <c r="M151">
        <v>0</v>
      </c>
      <c r="N151">
        <v>1</v>
      </c>
      <c r="O151" s="10"/>
      <c r="P151" t="s">
        <v>1248</v>
      </c>
      <c r="S151" s="9"/>
    </row>
    <row r="152" spans="1:19" ht="15" customHeight="1">
      <c r="A152" t="s">
        <v>32</v>
      </c>
      <c r="C152">
        <v>78</v>
      </c>
      <c r="D152" t="s">
        <v>1250</v>
      </c>
      <c r="E152" s="15" t="s">
        <v>332</v>
      </c>
      <c r="F152" s="15" t="s">
        <v>860</v>
      </c>
      <c r="G152">
        <v>6</v>
      </c>
      <c r="H152">
        <v>1</v>
      </c>
      <c r="I152" s="16">
        <v>289</v>
      </c>
      <c r="J152" s="16">
        <v>245</v>
      </c>
      <c r="K152" t="str">
        <f>SUBSTITUTE(SUBSTITUTE(SUBSTITUTE(SUBSTITUTE(SUBSTITUTE(SUBSTITUTE(SUBSTITUTE(SUBSTITUTE(SUBSTITUTE(LOWER(E152)," ",""),".",""),"/",""),"á","a"),"é","e"),"í","i"),"ó","o"),"ú","u"),"ñ","n")</f>
        <v>zocalo</v>
      </c>
      <c r="L152" t="s">
        <v>647</v>
      </c>
      <c r="M152">
        <v>0</v>
      </c>
      <c r="N152">
        <v>1</v>
      </c>
      <c r="O152" s="10"/>
      <c r="P152" t="s">
        <v>1249</v>
      </c>
      <c r="S152" s="9"/>
    </row>
  </sheetData>
  <autoFilter ref="A4:P152">
    <filterColumn colId="0"/>
  </autoFilter>
  <sortState ref="A5:S151">
    <sortCondition ref="E5:E151"/>
  </sortState>
  <phoneticPr fontId="2" type="noConversion"/>
  <dataValidations count="1">
    <dataValidation type="list" allowBlank="1" showInputMessage="1" showErrorMessage="1" sqref="D6:D1048576">
      <formula1>Sistemas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sheetPr codeName="Hoja6"/>
  <dimension ref="B1:J333"/>
  <sheetViews>
    <sheetView topLeftCell="A4" workbookViewId="0">
      <selection activeCell="D4" sqref="D4"/>
    </sheetView>
  </sheetViews>
  <sheetFormatPr baseColWidth="10" defaultRowHeight="15"/>
  <cols>
    <col min="2" max="2" width="5.28515625" customWidth="1"/>
    <col min="3" max="4" width="35.140625" bestFit="1" customWidth="1"/>
    <col min="5" max="5" width="8.85546875" bestFit="1" customWidth="1"/>
    <col min="6" max="6" width="8.28515625" customWidth="1"/>
    <col min="7" max="7" width="8.85546875" bestFit="1" customWidth="1"/>
    <col min="8" max="8" width="8.5703125" bestFit="1" customWidth="1"/>
    <col min="9" max="9" width="3.28515625" customWidth="1"/>
    <col min="10" max="10" width="52.42578125" bestFit="1" customWidth="1"/>
  </cols>
  <sheetData>
    <row r="1" spans="2:10">
      <c r="B1" s="19" t="s">
        <v>1253</v>
      </c>
    </row>
    <row r="2" spans="2:10">
      <c r="B2" s="19" t="s">
        <v>479</v>
      </c>
    </row>
    <row r="3" spans="2:10">
      <c r="B3" s="9"/>
      <c r="F3" s="9"/>
    </row>
    <row r="4" spans="2:10">
      <c r="C4" s="9" t="s">
        <v>196</v>
      </c>
      <c r="D4" s="9" t="s">
        <v>197</v>
      </c>
      <c r="E4" s="9" t="s">
        <v>183</v>
      </c>
      <c r="F4" s="9" t="s">
        <v>1252</v>
      </c>
      <c r="G4" s="9" t="s">
        <v>199</v>
      </c>
      <c r="H4" s="9" t="s">
        <v>198</v>
      </c>
      <c r="I4" s="9"/>
    </row>
    <row r="5" spans="2:10">
      <c r="C5" s="9" t="s">
        <v>1084</v>
      </c>
      <c r="D5" s="9" t="s">
        <v>1084</v>
      </c>
      <c r="E5" s="9" t="s">
        <v>1075</v>
      </c>
      <c r="F5" s="9" t="s">
        <v>1075</v>
      </c>
      <c r="G5" s="9" t="s">
        <v>1075</v>
      </c>
      <c r="H5" s="9" t="s">
        <v>1075</v>
      </c>
      <c r="I5" s="9"/>
    </row>
    <row r="6" spans="2:10">
      <c r="C6" t="s">
        <v>186</v>
      </c>
      <c r="D6" t="s">
        <v>169</v>
      </c>
      <c r="E6">
        <v>1</v>
      </c>
      <c r="F6">
        <v>1</v>
      </c>
      <c r="G6">
        <v>1</v>
      </c>
      <c r="H6">
        <v>160</v>
      </c>
      <c r="J6" t="s">
        <v>1401</v>
      </c>
    </row>
    <row r="7" spans="2:10">
      <c r="B7" s="8"/>
      <c r="C7" t="s">
        <v>169</v>
      </c>
      <c r="D7" t="s">
        <v>186</v>
      </c>
      <c r="E7">
        <v>1</v>
      </c>
      <c r="F7">
        <v>2</v>
      </c>
      <c r="G7">
        <v>1</v>
      </c>
      <c r="H7">
        <v>210</v>
      </c>
      <c r="J7" t="s">
        <v>1402</v>
      </c>
    </row>
    <row r="8" spans="2:10">
      <c r="C8" t="s">
        <v>169</v>
      </c>
      <c r="D8" t="s">
        <v>3745</v>
      </c>
      <c r="E8">
        <v>1</v>
      </c>
      <c r="F8">
        <v>1</v>
      </c>
      <c r="G8">
        <v>1</v>
      </c>
      <c r="H8">
        <v>175</v>
      </c>
      <c r="J8" t="s">
        <v>1403</v>
      </c>
    </row>
    <row r="9" spans="2:10">
      <c r="B9" s="8"/>
      <c r="C9" t="s">
        <v>3745</v>
      </c>
      <c r="D9" t="s">
        <v>169</v>
      </c>
      <c r="E9">
        <v>1</v>
      </c>
      <c r="F9">
        <v>2</v>
      </c>
      <c r="G9">
        <v>1</v>
      </c>
      <c r="H9">
        <v>180</v>
      </c>
      <c r="J9" t="s">
        <v>1404</v>
      </c>
    </row>
    <row r="10" spans="2:10">
      <c r="C10" t="s">
        <v>3745</v>
      </c>
      <c r="D10" t="s">
        <v>203</v>
      </c>
      <c r="E10">
        <v>1</v>
      </c>
      <c r="F10">
        <v>1</v>
      </c>
      <c r="G10">
        <v>1</v>
      </c>
      <c r="H10">
        <v>170</v>
      </c>
      <c r="J10" t="s">
        <v>1405</v>
      </c>
    </row>
    <row r="11" spans="2:10">
      <c r="C11" t="s">
        <v>203</v>
      </c>
      <c r="D11" t="s">
        <v>3745</v>
      </c>
      <c r="E11">
        <v>1</v>
      </c>
      <c r="F11">
        <v>2</v>
      </c>
      <c r="G11">
        <v>1</v>
      </c>
      <c r="H11">
        <v>170</v>
      </c>
      <c r="J11" t="s">
        <v>1406</v>
      </c>
    </row>
    <row r="12" spans="2:10">
      <c r="C12" t="s">
        <v>203</v>
      </c>
      <c r="D12" t="s">
        <v>204</v>
      </c>
      <c r="E12">
        <v>1</v>
      </c>
      <c r="F12">
        <v>1</v>
      </c>
      <c r="G12">
        <v>1</v>
      </c>
      <c r="H12">
        <v>140</v>
      </c>
      <c r="J12" t="s">
        <v>1407</v>
      </c>
    </row>
    <row r="13" spans="2:10">
      <c r="C13" t="s">
        <v>204</v>
      </c>
      <c r="D13" t="s">
        <v>203</v>
      </c>
      <c r="E13">
        <v>1</v>
      </c>
      <c r="F13">
        <v>2</v>
      </c>
      <c r="G13">
        <v>1</v>
      </c>
      <c r="H13">
        <v>140</v>
      </c>
      <c r="J13" t="s">
        <v>1408</v>
      </c>
    </row>
    <row r="14" spans="2:10">
      <c r="C14" t="s">
        <v>204</v>
      </c>
      <c r="D14" t="s">
        <v>205</v>
      </c>
      <c r="E14">
        <v>1</v>
      </c>
      <c r="F14">
        <v>1</v>
      </c>
      <c r="G14">
        <v>1</v>
      </c>
      <c r="H14">
        <v>150</v>
      </c>
      <c r="J14" t="s">
        <v>1409</v>
      </c>
    </row>
    <row r="15" spans="2:10">
      <c r="C15" t="s">
        <v>205</v>
      </c>
      <c r="D15" t="s">
        <v>204</v>
      </c>
      <c r="E15">
        <v>1</v>
      </c>
      <c r="F15">
        <v>2</v>
      </c>
      <c r="G15">
        <v>1</v>
      </c>
      <c r="H15">
        <v>150</v>
      </c>
      <c r="J15" t="s">
        <v>1410</v>
      </c>
    </row>
    <row r="16" spans="2:10">
      <c r="C16" t="s">
        <v>205</v>
      </c>
      <c r="D16" t="s">
        <v>3746</v>
      </c>
      <c r="E16">
        <v>1</v>
      </c>
      <c r="F16">
        <v>1</v>
      </c>
      <c r="G16">
        <v>1</v>
      </c>
      <c r="H16">
        <v>160</v>
      </c>
      <c r="J16" t="s">
        <v>1411</v>
      </c>
    </row>
    <row r="17" spans="3:10">
      <c r="C17" t="s">
        <v>3746</v>
      </c>
      <c r="D17" t="s">
        <v>205</v>
      </c>
      <c r="E17">
        <v>1</v>
      </c>
      <c r="F17">
        <v>2</v>
      </c>
      <c r="G17">
        <v>1</v>
      </c>
      <c r="H17">
        <v>160</v>
      </c>
      <c r="J17" t="s">
        <v>1412</v>
      </c>
    </row>
    <row r="18" spans="3:10">
      <c r="C18" t="s">
        <v>3746</v>
      </c>
      <c r="D18" t="s">
        <v>207</v>
      </c>
      <c r="E18">
        <v>1</v>
      </c>
      <c r="F18">
        <v>1</v>
      </c>
      <c r="G18">
        <v>1</v>
      </c>
      <c r="H18">
        <v>140</v>
      </c>
      <c r="J18" t="s">
        <v>1413</v>
      </c>
    </row>
    <row r="19" spans="3:10">
      <c r="C19" t="s">
        <v>207</v>
      </c>
      <c r="D19" t="s">
        <v>3746</v>
      </c>
      <c r="E19">
        <v>1</v>
      </c>
      <c r="F19">
        <v>2</v>
      </c>
      <c r="G19">
        <v>1</v>
      </c>
      <c r="H19">
        <v>140</v>
      </c>
      <c r="J19" t="s">
        <v>1414</v>
      </c>
    </row>
    <row r="20" spans="3:10">
      <c r="C20" t="s">
        <v>207</v>
      </c>
      <c r="D20" t="s">
        <v>208</v>
      </c>
      <c r="E20">
        <v>1</v>
      </c>
      <c r="F20">
        <v>1</v>
      </c>
      <c r="G20">
        <v>1</v>
      </c>
      <c r="H20">
        <v>145</v>
      </c>
      <c r="J20" t="s">
        <v>1415</v>
      </c>
    </row>
    <row r="21" spans="3:10">
      <c r="C21" t="s">
        <v>208</v>
      </c>
      <c r="D21" t="s">
        <v>207</v>
      </c>
      <c r="E21">
        <v>1</v>
      </c>
      <c r="F21">
        <v>2</v>
      </c>
      <c r="G21">
        <v>1</v>
      </c>
      <c r="H21">
        <v>150</v>
      </c>
      <c r="J21" t="s">
        <v>1416</v>
      </c>
    </row>
    <row r="22" spans="3:10">
      <c r="C22" t="s">
        <v>208</v>
      </c>
      <c r="D22" t="s">
        <v>209</v>
      </c>
      <c r="E22">
        <v>1</v>
      </c>
      <c r="F22">
        <v>1</v>
      </c>
      <c r="G22">
        <v>1</v>
      </c>
      <c r="H22">
        <v>145</v>
      </c>
      <c r="J22" t="s">
        <v>1417</v>
      </c>
    </row>
    <row r="23" spans="3:10">
      <c r="C23" t="s">
        <v>209</v>
      </c>
      <c r="D23" t="s">
        <v>208</v>
      </c>
      <c r="E23">
        <v>1</v>
      </c>
      <c r="F23">
        <v>2</v>
      </c>
      <c r="G23">
        <v>1</v>
      </c>
      <c r="H23">
        <v>140</v>
      </c>
      <c r="J23" t="s">
        <v>1418</v>
      </c>
    </row>
    <row r="24" spans="3:10">
      <c r="C24" t="s">
        <v>209</v>
      </c>
      <c r="D24" t="s">
        <v>210</v>
      </c>
      <c r="E24">
        <v>1</v>
      </c>
      <c r="F24">
        <v>1</v>
      </c>
      <c r="G24">
        <v>1</v>
      </c>
      <c r="H24">
        <v>140</v>
      </c>
      <c r="J24" t="s">
        <v>1419</v>
      </c>
    </row>
    <row r="25" spans="3:10">
      <c r="C25" t="s">
        <v>210</v>
      </c>
      <c r="D25" t="s">
        <v>209</v>
      </c>
      <c r="E25">
        <v>1</v>
      </c>
      <c r="F25">
        <v>2</v>
      </c>
      <c r="G25">
        <v>1</v>
      </c>
      <c r="H25">
        <v>145</v>
      </c>
      <c r="J25" t="s">
        <v>1420</v>
      </c>
    </row>
    <row r="26" spans="3:10">
      <c r="C26" t="s">
        <v>210</v>
      </c>
      <c r="D26" t="s">
        <v>211</v>
      </c>
      <c r="E26">
        <v>1</v>
      </c>
      <c r="F26">
        <v>1</v>
      </c>
      <c r="G26">
        <v>1</v>
      </c>
      <c r="H26">
        <v>170</v>
      </c>
      <c r="J26" t="s">
        <v>1421</v>
      </c>
    </row>
    <row r="27" spans="3:10">
      <c r="C27" t="s">
        <v>211</v>
      </c>
      <c r="D27" t="s">
        <v>210</v>
      </c>
      <c r="E27">
        <v>1</v>
      </c>
      <c r="F27">
        <v>2</v>
      </c>
      <c r="G27">
        <v>1</v>
      </c>
      <c r="H27">
        <v>165</v>
      </c>
      <c r="J27" t="s">
        <v>1422</v>
      </c>
    </row>
    <row r="28" spans="3:10">
      <c r="C28" t="s">
        <v>211</v>
      </c>
      <c r="D28" t="s">
        <v>212</v>
      </c>
      <c r="E28">
        <v>1</v>
      </c>
      <c r="F28">
        <v>1</v>
      </c>
      <c r="G28">
        <v>1</v>
      </c>
      <c r="H28">
        <v>155</v>
      </c>
      <c r="J28" t="s">
        <v>1423</v>
      </c>
    </row>
    <row r="29" spans="3:10">
      <c r="C29" t="s">
        <v>212</v>
      </c>
      <c r="D29" t="s">
        <v>211</v>
      </c>
      <c r="E29">
        <v>1</v>
      </c>
      <c r="F29">
        <v>2</v>
      </c>
      <c r="G29">
        <v>1</v>
      </c>
      <c r="H29">
        <v>155</v>
      </c>
      <c r="J29" t="s">
        <v>1424</v>
      </c>
    </row>
    <row r="30" spans="3:10">
      <c r="C30" t="s">
        <v>212</v>
      </c>
      <c r="D30" t="s">
        <v>3747</v>
      </c>
      <c r="E30">
        <v>1</v>
      </c>
      <c r="F30">
        <v>1</v>
      </c>
      <c r="G30">
        <v>1</v>
      </c>
      <c r="H30">
        <v>170</v>
      </c>
      <c r="J30" t="s">
        <v>1425</v>
      </c>
    </row>
    <row r="31" spans="3:10">
      <c r="C31" t="s">
        <v>3747</v>
      </c>
      <c r="D31" t="s">
        <v>212</v>
      </c>
      <c r="E31">
        <v>1</v>
      </c>
      <c r="F31">
        <v>2</v>
      </c>
      <c r="G31">
        <v>1</v>
      </c>
      <c r="H31">
        <v>170</v>
      </c>
      <c r="J31" t="s">
        <v>1426</v>
      </c>
    </row>
    <row r="32" spans="3:10">
      <c r="C32" t="s">
        <v>3747</v>
      </c>
      <c r="D32" t="s">
        <v>214</v>
      </c>
      <c r="E32">
        <v>1</v>
      </c>
      <c r="F32">
        <v>1</v>
      </c>
      <c r="G32">
        <v>1</v>
      </c>
      <c r="H32">
        <v>150</v>
      </c>
      <c r="J32" t="s">
        <v>1427</v>
      </c>
    </row>
    <row r="33" spans="3:10">
      <c r="C33" t="s">
        <v>214</v>
      </c>
      <c r="D33" t="s">
        <v>3747</v>
      </c>
      <c r="E33">
        <v>1</v>
      </c>
      <c r="F33">
        <v>2</v>
      </c>
      <c r="G33">
        <v>1</v>
      </c>
      <c r="H33">
        <v>140</v>
      </c>
      <c r="J33" t="s">
        <v>1428</v>
      </c>
    </row>
    <row r="34" spans="3:10">
      <c r="C34" t="s">
        <v>214</v>
      </c>
      <c r="D34" t="s">
        <v>215</v>
      </c>
      <c r="E34">
        <v>1</v>
      </c>
      <c r="F34">
        <v>1</v>
      </c>
      <c r="G34">
        <v>1</v>
      </c>
      <c r="H34">
        <v>155</v>
      </c>
      <c r="J34" t="s">
        <v>1429</v>
      </c>
    </row>
    <row r="35" spans="3:10">
      <c r="C35" t="s">
        <v>215</v>
      </c>
      <c r="D35" t="s">
        <v>214</v>
      </c>
      <c r="E35">
        <v>1</v>
      </c>
      <c r="F35">
        <v>2</v>
      </c>
      <c r="G35">
        <v>1</v>
      </c>
      <c r="H35">
        <v>155</v>
      </c>
      <c r="J35" t="s">
        <v>1430</v>
      </c>
    </row>
    <row r="36" spans="3:10">
      <c r="C36" t="s">
        <v>215</v>
      </c>
      <c r="D36" t="s">
        <v>3748</v>
      </c>
      <c r="E36">
        <v>1</v>
      </c>
      <c r="F36">
        <v>1</v>
      </c>
      <c r="G36">
        <v>1</v>
      </c>
      <c r="H36">
        <v>145</v>
      </c>
      <c r="J36" t="s">
        <v>1431</v>
      </c>
    </row>
    <row r="37" spans="3:10">
      <c r="C37" t="s">
        <v>3748</v>
      </c>
      <c r="D37" t="s">
        <v>215</v>
      </c>
      <c r="E37">
        <v>1</v>
      </c>
      <c r="F37">
        <v>2</v>
      </c>
      <c r="G37">
        <v>1</v>
      </c>
      <c r="H37">
        <v>145</v>
      </c>
      <c r="J37" t="s">
        <v>1432</v>
      </c>
    </row>
    <row r="38" spans="3:10">
      <c r="C38" t="s">
        <v>3748</v>
      </c>
      <c r="D38" t="s">
        <v>217</v>
      </c>
      <c r="E38">
        <v>1</v>
      </c>
      <c r="F38">
        <v>1</v>
      </c>
      <c r="G38">
        <v>1</v>
      </c>
      <c r="H38">
        <v>150</v>
      </c>
      <c r="J38" t="s">
        <v>1433</v>
      </c>
    </row>
    <row r="39" spans="3:10">
      <c r="C39" t="s">
        <v>217</v>
      </c>
      <c r="D39" t="s">
        <v>3748</v>
      </c>
      <c r="E39">
        <v>1</v>
      </c>
      <c r="F39">
        <v>2</v>
      </c>
      <c r="G39">
        <v>1</v>
      </c>
      <c r="H39">
        <v>150</v>
      </c>
      <c r="J39" t="s">
        <v>1434</v>
      </c>
    </row>
    <row r="40" spans="3:10">
      <c r="C40" t="s">
        <v>217</v>
      </c>
      <c r="D40" t="s">
        <v>218</v>
      </c>
      <c r="E40">
        <v>1</v>
      </c>
      <c r="F40">
        <v>1</v>
      </c>
      <c r="G40">
        <v>1</v>
      </c>
      <c r="H40">
        <v>165</v>
      </c>
      <c r="J40" t="s">
        <v>1435</v>
      </c>
    </row>
    <row r="41" spans="3:10">
      <c r="C41" t="s">
        <v>218</v>
      </c>
      <c r="D41" t="s">
        <v>217</v>
      </c>
      <c r="E41">
        <v>1</v>
      </c>
      <c r="F41">
        <v>2</v>
      </c>
      <c r="G41">
        <v>1</v>
      </c>
      <c r="H41">
        <v>155</v>
      </c>
      <c r="J41" t="s">
        <v>1436</v>
      </c>
    </row>
    <row r="42" spans="3:10">
      <c r="C42" t="s">
        <v>218</v>
      </c>
      <c r="D42" t="s">
        <v>3742</v>
      </c>
      <c r="E42">
        <v>1</v>
      </c>
      <c r="F42">
        <v>1</v>
      </c>
      <c r="G42">
        <v>1</v>
      </c>
      <c r="H42">
        <v>230</v>
      </c>
      <c r="J42" t="s">
        <v>1437</v>
      </c>
    </row>
    <row r="43" spans="3:10">
      <c r="C43" t="s">
        <v>3742</v>
      </c>
      <c r="D43" t="s">
        <v>218</v>
      </c>
      <c r="E43">
        <v>1</v>
      </c>
      <c r="F43">
        <v>2</v>
      </c>
      <c r="G43">
        <v>1</v>
      </c>
      <c r="H43">
        <v>180</v>
      </c>
      <c r="J43" t="s">
        <v>1438</v>
      </c>
    </row>
    <row r="44" spans="3:10">
      <c r="C44" t="s">
        <v>187</v>
      </c>
      <c r="D44" t="s">
        <v>219</v>
      </c>
      <c r="E44">
        <v>2</v>
      </c>
      <c r="F44">
        <v>1</v>
      </c>
      <c r="G44">
        <v>1</v>
      </c>
      <c r="H44">
        <v>205</v>
      </c>
      <c r="J44" t="s">
        <v>1439</v>
      </c>
    </row>
    <row r="45" spans="3:10">
      <c r="C45" t="s">
        <v>219</v>
      </c>
      <c r="D45" t="s">
        <v>187</v>
      </c>
      <c r="E45">
        <v>2</v>
      </c>
      <c r="F45">
        <v>2</v>
      </c>
      <c r="G45">
        <v>1</v>
      </c>
      <c r="H45">
        <v>265</v>
      </c>
      <c r="J45" t="s">
        <v>1440</v>
      </c>
    </row>
    <row r="46" spans="3:10">
      <c r="C46" t="s">
        <v>219</v>
      </c>
      <c r="D46" t="s">
        <v>170</v>
      </c>
      <c r="E46">
        <v>2</v>
      </c>
      <c r="F46">
        <v>1</v>
      </c>
      <c r="G46">
        <v>1</v>
      </c>
      <c r="H46">
        <v>190</v>
      </c>
      <c r="J46" t="s">
        <v>1441</v>
      </c>
    </row>
    <row r="47" spans="3:10">
      <c r="C47" t="s">
        <v>170</v>
      </c>
      <c r="D47" t="s">
        <v>219</v>
      </c>
      <c r="E47">
        <v>2</v>
      </c>
      <c r="F47">
        <v>1</v>
      </c>
      <c r="G47">
        <v>1</v>
      </c>
      <c r="H47">
        <v>195</v>
      </c>
      <c r="J47" t="s">
        <v>1442</v>
      </c>
    </row>
    <row r="48" spans="3:10">
      <c r="C48" t="s">
        <v>170</v>
      </c>
      <c r="D48" t="s">
        <v>3749</v>
      </c>
      <c r="E48">
        <v>2</v>
      </c>
      <c r="F48">
        <v>1</v>
      </c>
      <c r="G48">
        <v>1</v>
      </c>
      <c r="H48">
        <v>160</v>
      </c>
      <c r="J48" t="s">
        <v>1443</v>
      </c>
    </row>
    <row r="49" spans="3:10">
      <c r="C49" t="s">
        <v>3749</v>
      </c>
      <c r="D49" t="s">
        <v>170</v>
      </c>
      <c r="E49">
        <v>2</v>
      </c>
      <c r="F49">
        <v>2</v>
      </c>
      <c r="G49">
        <v>1</v>
      </c>
      <c r="H49">
        <v>155</v>
      </c>
      <c r="J49" t="s">
        <v>1444</v>
      </c>
    </row>
    <row r="50" spans="3:10">
      <c r="C50" t="s">
        <v>3749</v>
      </c>
      <c r="D50" t="s">
        <v>221</v>
      </c>
      <c r="E50">
        <v>2</v>
      </c>
      <c r="F50">
        <v>1</v>
      </c>
      <c r="G50">
        <v>1</v>
      </c>
      <c r="H50">
        <v>140</v>
      </c>
      <c r="J50" t="s">
        <v>1445</v>
      </c>
    </row>
    <row r="51" spans="3:10">
      <c r="C51" t="s">
        <v>221</v>
      </c>
      <c r="D51" t="s">
        <v>3749</v>
      </c>
      <c r="E51">
        <v>2</v>
      </c>
      <c r="F51">
        <v>2</v>
      </c>
      <c r="G51">
        <v>1</v>
      </c>
      <c r="H51">
        <v>140</v>
      </c>
      <c r="J51" t="s">
        <v>1446</v>
      </c>
    </row>
    <row r="52" spans="3:10">
      <c r="C52" t="s">
        <v>221</v>
      </c>
      <c r="D52" t="s">
        <v>222</v>
      </c>
      <c r="E52">
        <v>2</v>
      </c>
      <c r="F52">
        <v>1</v>
      </c>
      <c r="G52">
        <v>1</v>
      </c>
      <c r="H52">
        <v>135</v>
      </c>
      <c r="J52" t="s">
        <v>1447</v>
      </c>
    </row>
    <row r="53" spans="3:10">
      <c r="C53" t="s">
        <v>222</v>
      </c>
      <c r="D53" t="s">
        <v>221</v>
      </c>
      <c r="E53">
        <v>2</v>
      </c>
      <c r="F53">
        <v>2</v>
      </c>
      <c r="G53">
        <v>1</v>
      </c>
      <c r="H53">
        <v>135</v>
      </c>
      <c r="J53" t="s">
        <v>1448</v>
      </c>
    </row>
    <row r="54" spans="3:10">
      <c r="C54" t="s">
        <v>222</v>
      </c>
      <c r="D54" t="s">
        <v>223</v>
      </c>
      <c r="E54">
        <v>2</v>
      </c>
      <c r="F54">
        <v>1</v>
      </c>
      <c r="G54">
        <v>1</v>
      </c>
      <c r="H54">
        <v>140</v>
      </c>
      <c r="J54" t="s">
        <v>1449</v>
      </c>
    </row>
    <row r="55" spans="3:10">
      <c r="C55" t="s">
        <v>223</v>
      </c>
      <c r="D55" t="s">
        <v>222</v>
      </c>
      <c r="E55">
        <v>2</v>
      </c>
      <c r="F55">
        <v>2</v>
      </c>
      <c r="G55">
        <v>1</v>
      </c>
      <c r="H55">
        <v>140</v>
      </c>
      <c r="J55" t="s">
        <v>1450</v>
      </c>
    </row>
    <row r="56" spans="3:10">
      <c r="C56" t="s">
        <v>223</v>
      </c>
      <c r="D56" t="s">
        <v>224</v>
      </c>
      <c r="E56">
        <v>2</v>
      </c>
      <c r="F56">
        <v>1</v>
      </c>
      <c r="G56">
        <v>1</v>
      </c>
      <c r="H56">
        <v>145</v>
      </c>
      <c r="J56" t="s">
        <v>1451</v>
      </c>
    </row>
    <row r="57" spans="3:10">
      <c r="C57" t="s">
        <v>224</v>
      </c>
      <c r="D57" t="s">
        <v>223</v>
      </c>
      <c r="E57">
        <v>2</v>
      </c>
      <c r="F57">
        <v>2</v>
      </c>
      <c r="G57">
        <v>1</v>
      </c>
      <c r="H57">
        <v>145</v>
      </c>
      <c r="J57" t="s">
        <v>1452</v>
      </c>
    </row>
    <row r="58" spans="3:10">
      <c r="C58" t="s">
        <v>224</v>
      </c>
      <c r="D58" t="s">
        <v>225</v>
      </c>
      <c r="E58">
        <v>2</v>
      </c>
      <c r="F58">
        <v>1</v>
      </c>
      <c r="G58">
        <v>1</v>
      </c>
      <c r="H58">
        <v>135</v>
      </c>
      <c r="J58" t="s">
        <v>1453</v>
      </c>
    </row>
    <row r="59" spans="3:10">
      <c r="C59" t="s">
        <v>225</v>
      </c>
      <c r="D59" t="s">
        <v>224</v>
      </c>
      <c r="E59">
        <v>2</v>
      </c>
      <c r="F59">
        <v>2</v>
      </c>
      <c r="G59">
        <v>1</v>
      </c>
      <c r="H59">
        <v>140</v>
      </c>
      <c r="J59" t="s">
        <v>1454</v>
      </c>
    </row>
    <row r="60" spans="3:10">
      <c r="C60" t="s">
        <v>225</v>
      </c>
      <c r="D60" t="s">
        <v>226</v>
      </c>
      <c r="E60">
        <v>2</v>
      </c>
      <c r="F60">
        <v>1</v>
      </c>
      <c r="G60">
        <v>1</v>
      </c>
      <c r="H60">
        <v>145</v>
      </c>
      <c r="J60" t="s">
        <v>1455</v>
      </c>
    </row>
    <row r="61" spans="3:10">
      <c r="C61" t="s">
        <v>226</v>
      </c>
      <c r="D61" t="s">
        <v>225</v>
      </c>
      <c r="E61">
        <v>2</v>
      </c>
      <c r="F61">
        <v>2</v>
      </c>
      <c r="G61">
        <v>1</v>
      </c>
      <c r="H61">
        <v>150</v>
      </c>
      <c r="J61" t="s">
        <v>1456</v>
      </c>
    </row>
    <row r="62" spans="3:10">
      <c r="C62" t="s">
        <v>226</v>
      </c>
      <c r="D62" t="s">
        <v>227</v>
      </c>
      <c r="E62">
        <v>2</v>
      </c>
      <c r="F62">
        <v>1</v>
      </c>
      <c r="G62">
        <v>1</v>
      </c>
      <c r="H62">
        <v>140</v>
      </c>
      <c r="J62" t="s">
        <v>1457</v>
      </c>
    </row>
    <row r="63" spans="3:10">
      <c r="C63" t="s">
        <v>227</v>
      </c>
      <c r="D63" t="s">
        <v>226</v>
      </c>
      <c r="E63">
        <v>2</v>
      </c>
      <c r="F63">
        <v>2</v>
      </c>
      <c r="G63">
        <v>1</v>
      </c>
      <c r="H63">
        <v>135</v>
      </c>
      <c r="J63" t="s">
        <v>1458</v>
      </c>
    </row>
    <row r="64" spans="3:10">
      <c r="C64" t="s">
        <v>227</v>
      </c>
      <c r="D64" t="s">
        <v>228</v>
      </c>
      <c r="E64">
        <v>2</v>
      </c>
      <c r="F64">
        <v>1</v>
      </c>
      <c r="G64">
        <v>1</v>
      </c>
      <c r="H64">
        <v>135</v>
      </c>
      <c r="J64" t="s">
        <v>1459</v>
      </c>
    </row>
    <row r="65" spans="3:10">
      <c r="C65" t="s">
        <v>228</v>
      </c>
      <c r="D65" t="s">
        <v>227</v>
      </c>
      <c r="E65">
        <v>2</v>
      </c>
      <c r="F65">
        <v>2</v>
      </c>
      <c r="G65">
        <v>1</v>
      </c>
      <c r="H65">
        <v>135</v>
      </c>
      <c r="J65" t="s">
        <v>1460</v>
      </c>
    </row>
    <row r="66" spans="3:10">
      <c r="C66" t="s">
        <v>228</v>
      </c>
      <c r="D66" t="s">
        <v>3750</v>
      </c>
      <c r="E66">
        <v>2</v>
      </c>
      <c r="F66">
        <v>1</v>
      </c>
      <c r="G66">
        <v>1</v>
      </c>
      <c r="H66">
        <v>150</v>
      </c>
      <c r="J66" t="s">
        <v>1461</v>
      </c>
    </row>
    <row r="67" spans="3:10">
      <c r="C67" t="s">
        <v>3750</v>
      </c>
      <c r="D67" t="s">
        <v>228</v>
      </c>
      <c r="E67">
        <v>2</v>
      </c>
      <c r="F67">
        <v>2</v>
      </c>
      <c r="G67">
        <v>1</v>
      </c>
      <c r="H67">
        <v>160</v>
      </c>
      <c r="J67" t="s">
        <v>1462</v>
      </c>
    </row>
    <row r="68" spans="3:10">
      <c r="C68" t="s">
        <v>3750</v>
      </c>
      <c r="D68" t="s">
        <v>210</v>
      </c>
      <c r="E68">
        <v>2</v>
      </c>
      <c r="F68">
        <v>1</v>
      </c>
      <c r="G68">
        <v>1</v>
      </c>
      <c r="H68">
        <v>165</v>
      </c>
      <c r="J68" t="s">
        <v>1463</v>
      </c>
    </row>
    <row r="69" spans="3:10">
      <c r="C69" t="s">
        <v>210</v>
      </c>
      <c r="D69" t="s">
        <v>3750</v>
      </c>
      <c r="E69">
        <v>2</v>
      </c>
      <c r="F69">
        <v>2</v>
      </c>
      <c r="G69">
        <v>1</v>
      </c>
      <c r="H69">
        <v>160</v>
      </c>
      <c r="J69" t="s">
        <v>1464</v>
      </c>
    </row>
    <row r="70" spans="3:10">
      <c r="C70" t="s">
        <v>210</v>
      </c>
      <c r="D70" t="s">
        <v>230</v>
      </c>
      <c r="E70">
        <v>2</v>
      </c>
      <c r="F70">
        <v>1</v>
      </c>
      <c r="G70">
        <v>1</v>
      </c>
      <c r="H70">
        <v>180</v>
      </c>
      <c r="J70" t="s">
        <v>1465</v>
      </c>
    </row>
    <row r="71" spans="3:10">
      <c r="C71" t="s">
        <v>230</v>
      </c>
      <c r="D71" t="s">
        <v>210</v>
      </c>
      <c r="E71">
        <v>2</v>
      </c>
      <c r="F71">
        <v>2</v>
      </c>
      <c r="G71">
        <v>1</v>
      </c>
      <c r="H71">
        <v>165</v>
      </c>
      <c r="J71" t="s">
        <v>1466</v>
      </c>
    </row>
    <row r="72" spans="3:10">
      <c r="C72" t="s">
        <v>230</v>
      </c>
      <c r="D72" t="s">
        <v>181</v>
      </c>
      <c r="E72">
        <v>2</v>
      </c>
      <c r="F72">
        <v>1</v>
      </c>
      <c r="G72">
        <v>1</v>
      </c>
      <c r="H72">
        <v>140</v>
      </c>
      <c r="J72" t="s">
        <v>1467</v>
      </c>
    </row>
    <row r="73" spans="3:10">
      <c r="C73" t="s">
        <v>181</v>
      </c>
      <c r="D73" t="s">
        <v>230</v>
      </c>
      <c r="E73">
        <v>2</v>
      </c>
      <c r="F73">
        <v>2</v>
      </c>
      <c r="G73">
        <v>1</v>
      </c>
      <c r="H73">
        <v>145</v>
      </c>
      <c r="J73" t="s">
        <v>1468</v>
      </c>
    </row>
    <row r="74" spans="3:10">
      <c r="C74" t="s">
        <v>181</v>
      </c>
      <c r="D74" t="s">
        <v>231</v>
      </c>
      <c r="E74">
        <v>2</v>
      </c>
      <c r="F74">
        <v>1</v>
      </c>
      <c r="G74">
        <v>1</v>
      </c>
      <c r="H74">
        <v>155</v>
      </c>
      <c r="J74" t="s">
        <v>1469</v>
      </c>
    </row>
    <row r="75" spans="3:10">
      <c r="C75" t="s">
        <v>231</v>
      </c>
      <c r="D75" t="s">
        <v>181</v>
      </c>
      <c r="E75">
        <v>2</v>
      </c>
      <c r="F75">
        <v>2</v>
      </c>
      <c r="G75">
        <v>1</v>
      </c>
      <c r="H75">
        <v>150</v>
      </c>
      <c r="J75" t="s">
        <v>1470</v>
      </c>
    </row>
    <row r="76" spans="3:10">
      <c r="C76" t="s">
        <v>231</v>
      </c>
      <c r="D76" t="s">
        <v>232</v>
      </c>
      <c r="E76">
        <v>2</v>
      </c>
      <c r="F76">
        <v>1</v>
      </c>
      <c r="G76">
        <v>1</v>
      </c>
      <c r="H76">
        <v>140</v>
      </c>
      <c r="J76" t="s">
        <v>1471</v>
      </c>
    </row>
    <row r="77" spans="3:10">
      <c r="C77" t="s">
        <v>232</v>
      </c>
      <c r="D77" t="s">
        <v>231</v>
      </c>
      <c r="E77">
        <v>2</v>
      </c>
      <c r="F77">
        <v>2</v>
      </c>
      <c r="G77">
        <v>1</v>
      </c>
      <c r="H77">
        <v>140</v>
      </c>
      <c r="J77" t="s">
        <v>1472</v>
      </c>
    </row>
    <row r="78" spans="3:10">
      <c r="C78" t="s">
        <v>232</v>
      </c>
      <c r="D78" t="s">
        <v>3751</v>
      </c>
      <c r="E78">
        <v>2</v>
      </c>
      <c r="F78">
        <v>1</v>
      </c>
      <c r="G78">
        <v>1</v>
      </c>
      <c r="H78">
        <v>145</v>
      </c>
      <c r="J78" t="s">
        <v>1473</v>
      </c>
    </row>
    <row r="79" spans="3:10">
      <c r="C79" t="s">
        <v>3751</v>
      </c>
      <c r="D79" t="s">
        <v>232</v>
      </c>
      <c r="E79">
        <v>2</v>
      </c>
      <c r="F79">
        <v>2</v>
      </c>
      <c r="G79">
        <v>1</v>
      </c>
      <c r="H79">
        <v>145</v>
      </c>
      <c r="J79" t="s">
        <v>1474</v>
      </c>
    </row>
    <row r="80" spans="3:10">
      <c r="C80" t="s">
        <v>3751</v>
      </c>
      <c r="D80" t="s">
        <v>234</v>
      </c>
      <c r="E80">
        <v>2</v>
      </c>
      <c r="F80">
        <v>1</v>
      </c>
      <c r="G80">
        <v>1</v>
      </c>
      <c r="H80">
        <v>150</v>
      </c>
      <c r="J80" t="s">
        <v>1475</v>
      </c>
    </row>
    <row r="81" spans="3:10">
      <c r="C81" t="s">
        <v>234</v>
      </c>
      <c r="D81" t="s">
        <v>3751</v>
      </c>
      <c r="E81">
        <v>2</v>
      </c>
      <c r="F81">
        <v>2</v>
      </c>
      <c r="G81">
        <v>1</v>
      </c>
      <c r="H81">
        <v>150</v>
      </c>
      <c r="J81" t="s">
        <v>1476</v>
      </c>
    </row>
    <row r="82" spans="3:10">
      <c r="C82" t="s">
        <v>234</v>
      </c>
      <c r="D82" t="s">
        <v>235</v>
      </c>
      <c r="E82">
        <v>2</v>
      </c>
      <c r="F82">
        <v>1</v>
      </c>
      <c r="G82">
        <v>1</v>
      </c>
      <c r="H82">
        <v>160</v>
      </c>
      <c r="J82" t="s">
        <v>1477</v>
      </c>
    </row>
    <row r="83" spans="3:10">
      <c r="C83" t="s">
        <v>235</v>
      </c>
      <c r="D83" t="s">
        <v>234</v>
      </c>
      <c r="E83">
        <v>2</v>
      </c>
      <c r="F83">
        <v>2</v>
      </c>
      <c r="G83">
        <v>1</v>
      </c>
      <c r="H83">
        <v>160</v>
      </c>
      <c r="J83" t="s">
        <v>1478</v>
      </c>
    </row>
    <row r="84" spans="3:10">
      <c r="C84" t="s">
        <v>235</v>
      </c>
      <c r="D84" t="s">
        <v>425</v>
      </c>
      <c r="E84">
        <v>2</v>
      </c>
      <c r="F84">
        <v>1</v>
      </c>
      <c r="G84">
        <v>1</v>
      </c>
      <c r="H84">
        <v>150</v>
      </c>
      <c r="J84" t="s">
        <v>1479</v>
      </c>
    </row>
    <row r="85" spans="3:10">
      <c r="C85" t="s">
        <v>236</v>
      </c>
      <c r="D85" t="s">
        <v>425</v>
      </c>
      <c r="E85">
        <v>2</v>
      </c>
      <c r="F85">
        <v>2</v>
      </c>
      <c r="G85">
        <v>1</v>
      </c>
      <c r="H85">
        <v>155</v>
      </c>
      <c r="J85" t="s">
        <v>1480</v>
      </c>
    </row>
    <row r="86" spans="3:10">
      <c r="C86" t="s">
        <v>236</v>
      </c>
      <c r="D86" t="s">
        <v>188</v>
      </c>
      <c r="E86">
        <v>2</v>
      </c>
      <c r="F86">
        <v>1</v>
      </c>
      <c r="G86">
        <v>1</v>
      </c>
      <c r="H86">
        <v>245</v>
      </c>
      <c r="J86" t="s">
        <v>1481</v>
      </c>
    </row>
    <row r="87" spans="3:10">
      <c r="C87" t="s">
        <v>188</v>
      </c>
      <c r="D87" t="s">
        <v>236</v>
      </c>
      <c r="E87">
        <v>2</v>
      </c>
      <c r="F87">
        <v>2</v>
      </c>
      <c r="G87">
        <v>1</v>
      </c>
      <c r="H87">
        <v>175</v>
      </c>
      <c r="J87" t="s">
        <v>1482</v>
      </c>
    </row>
    <row r="88" spans="3:10">
      <c r="C88" t="s">
        <v>425</v>
      </c>
      <c r="D88" t="s">
        <v>235</v>
      </c>
      <c r="E88">
        <v>2</v>
      </c>
      <c r="F88">
        <v>1</v>
      </c>
      <c r="G88">
        <v>1</v>
      </c>
      <c r="H88">
        <v>150</v>
      </c>
      <c r="J88" t="s">
        <v>1483</v>
      </c>
    </row>
    <row r="89" spans="3:10">
      <c r="C89" t="s">
        <v>425</v>
      </c>
      <c r="D89" t="s">
        <v>236</v>
      </c>
      <c r="E89">
        <v>2</v>
      </c>
      <c r="F89">
        <v>2</v>
      </c>
      <c r="G89">
        <v>1</v>
      </c>
      <c r="H89">
        <v>160</v>
      </c>
      <c r="J89" t="s">
        <v>1484</v>
      </c>
    </row>
    <row r="90" spans="3:10">
      <c r="C90" t="s">
        <v>189</v>
      </c>
      <c r="D90" t="s">
        <v>171</v>
      </c>
      <c r="E90">
        <v>3</v>
      </c>
      <c r="F90">
        <v>1</v>
      </c>
      <c r="G90">
        <v>1</v>
      </c>
      <c r="H90">
        <v>175</v>
      </c>
      <c r="J90" t="s">
        <v>1485</v>
      </c>
    </row>
    <row r="91" spans="3:10">
      <c r="C91" t="s">
        <v>171</v>
      </c>
      <c r="D91" t="s">
        <v>189</v>
      </c>
      <c r="E91">
        <v>3</v>
      </c>
      <c r="F91">
        <v>2</v>
      </c>
      <c r="G91">
        <v>1</v>
      </c>
      <c r="H91">
        <v>220</v>
      </c>
      <c r="J91" t="s">
        <v>1486</v>
      </c>
    </row>
    <row r="92" spans="3:10">
      <c r="C92" t="s">
        <v>171</v>
      </c>
      <c r="D92" t="s">
        <v>237</v>
      </c>
      <c r="E92">
        <v>3</v>
      </c>
      <c r="F92">
        <v>1</v>
      </c>
      <c r="G92">
        <v>1</v>
      </c>
      <c r="H92">
        <v>180</v>
      </c>
      <c r="J92" t="s">
        <v>1487</v>
      </c>
    </row>
    <row r="93" spans="3:10">
      <c r="C93" t="s">
        <v>237</v>
      </c>
      <c r="D93" t="s">
        <v>171</v>
      </c>
      <c r="E93">
        <v>3</v>
      </c>
      <c r="F93">
        <v>2</v>
      </c>
      <c r="G93">
        <v>1</v>
      </c>
      <c r="H93">
        <v>175</v>
      </c>
      <c r="J93" t="s">
        <v>1488</v>
      </c>
    </row>
    <row r="94" spans="3:10">
      <c r="C94" t="s">
        <v>237</v>
      </c>
      <c r="D94" t="s">
        <v>238</v>
      </c>
      <c r="E94">
        <v>3</v>
      </c>
      <c r="F94">
        <v>1</v>
      </c>
      <c r="G94">
        <v>1</v>
      </c>
      <c r="H94">
        <v>180</v>
      </c>
      <c r="J94" t="s">
        <v>1489</v>
      </c>
    </row>
    <row r="95" spans="3:10">
      <c r="C95" t="s">
        <v>238</v>
      </c>
      <c r="D95" t="s">
        <v>237</v>
      </c>
      <c r="E95">
        <v>3</v>
      </c>
      <c r="F95">
        <v>2</v>
      </c>
      <c r="G95">
        <v>1</v>
      </c>
      <c r="H95">
        <v>185</v>
      </c>
      <c r="J95" t="s">
        <v>1490</v>
      </c>
    </row>
    <row r="96" spans="3:10">
      <c r="C96" t="s">
        <v>238</v>
      </c>
      <c r="D96" t="s">
        <v>239</v>
      </c>
      <c r="E96">
        <v>3</v>
      </c>
      <c r="F96">
        <v>1</v>
      </c>
      <c r="G96">
        <v>1</v>
      </c>
      <c r="H96">
        <v>225</v>
      </c>
      <c r="J96" t="s">
        <v>1491</v>
      </c>
    </row>
    <row r="97" spans="3:10">
      <c r="C97" t="s">
        <v>239</v>
      </c>
      <c r="D97" t="s">
        <v>238</v>
      </c>
      <c r="E97">
        <v>3</v>
      </c>
      <c r="F97">
        <v>2</v>
      </c>
      <c r="G97">
        <v>1</v>
      </c>
      <c r="H97">
        <v>215</v>
      </c>
      <c r="J97" t="s">
        <v>1492</v>
      </c>
    </row>
    <row r="98" spans="3:10">
      <c r="C98" t="s">
        <v>239</v>
      </c>
      <c r="D98" t="s">
        <v>177</v>
      </c>
      <c r="E98">
        <v>3</v>
      </c>
      <c r="F98">
        <v>1</v>
      </c>
      <c r="G98">
        <v>1</v>
      </c>
      <c r="H98">
        <v>175</v>
      </c>
      <c r="J98" t="s">
        <v>1493</v>
      </c>
    </row>
    <row r="99" spans="3:10">
      <c r="C99" t="s">
        <v>177</v>
      </c>
      <c r="D99" t="s">
        <v>239</v>
      </c>
      <c r="E99">
        <v>3</v>
      </c>
      <c r="F99">
        <v>2</v>
      </c>
      <c r="G99">
        <v>1</v>
      </c>
      <c r="H99">
        <v>180</v>
      </c>
      <c r="J99" t="s">
        <v>1494</v>
      </c>
    </row>
    <row r="100" spans="3:10">
      <c r="C100" t="s">
        <v>177</v>
      </c>
      <c r="D100" t="s">
        <v>226</v>
      </c>
      <c r="E100">
        <v>3</v>
      </c>
      <c r="F100">
        <v>1</v>
      </c>
      <c r="G100">
        <v>1</v>
      </c>
      <c r="H100">
        <v>160</v>
      </c>
      <c r="J100" t="s">
        <v>1495</v>
      </c>
    </row>
    <row r="101" spans="3:10">
      <c r="C101" t="s">
        <v>226</v>
      </c>
      <c r="D101" t="s">
        <v>177</v>
      </c>
      <c r="E101">
        <v>3</v>
      </c>
      <c r="F101">
        <v>2</v>
      </c>
      <c r="G101">
        <v>1</v>
      </c>
      <c r="H101">
        <v>160</v>
      </c>
      <c r="J101" t="s">
        <v>1496</v>
      </c>
    </row>
    <row r="102" spans="3:10">
      <c r="C102" t="s">
        <v>226</v>
      </c>
      <c r="D102" t="s">
        <v>240</v>
      </c>
      <c r="E102">
        <v>3</v>
      </c>
      <c r="F102">
        <v>1</v>
      </c>
      <c r="G102">
        <v>1</v>
      </c>
      <c r="H102">
        <v>140</v>
      </c>
      <c r="J102" t="s">
        <v>1497</v>
      </c>
    </row>
    <row r="103" spans="3:10">
      <c r="C103" t="s">
        <v>240</v>
      </c>
      <c r="D103" t="s">
        <v>226</v>
      </c>
      <c r="E103">
        <v>3</v>
      </c>
      <c r="F103">
        <v>2</v>
      </c>
      <c r="G103">
        <v>1</v>
      </c>
      <c r="H103">
        <v>135</v>
      </c>
      <c r="J103" t="s">
        <v>1498</v>
      </c>
    </row>
    <row r="104" spans="3:10">
      <c r="C104" t="s">
        <v>240</v>
      </c>
      <c r="D104" t="s">
        <v>207</v>
      </c>
      <c r="E104">
        <v>3</v>
      </c>
      <c r="F104">
        <v>1</v>
      </c>
      <c r="G104">
        <v>1</v>
      </c>
      <c r="H104">
        <v>165</v>
      </c>
      <c r="J104" t="s">
        <v>1499</v>
      </c>
    </row>
    <row r="105" spans="3:10">
      <c r="C105" t="s">
        <v>207</v>
      </c>
      <c r="D105" t="s">
        <v>240</v>
      </c>
      <c r="E105">
        <v>3</v>
      </c>
      <c r="F105">
        <v>2</v>
      </c>
      <c r="G105">
        <v>1</v>
      </c>
      <c r="H105">
        <v>165</v>
      </c>
      <c r="J105" t="s">
        <v>1500</v>
      </c>
    </row>
    <row r="106" spans="3:10">
      <c r="C106" t="s">
        <v>207</v>
      </c>
      <c r="D106" t="s">
        <v>3752</v>
      </c>
      <c r="E106">
        <v>3</v>
      </c>
      <c r="F106">
        <v>1</v>
      </c>
      <c r="G106">
        <v>1</v>
      </c>
      <c r="H106">
        <v>160</v>
      </c>
      <c r="J106" t="s">
        <v>1501</v>
      </c>
    </row>
    <row r="107" spans="3:10">
      <c r="C107" t="s">
        <v>3752</v>
      </c>
      <c r="D107" t="s">
        <v>207</v>
      </c>
      <c r="E107">
        <v>3</v>
      </c>
      <c r="F107">
        <v>2</v>
      </c>
      <c r="G107">
        <v>1</v>
      </c>
      <c r="H107">
        <v>150</v>
      </c>
      <c r="J107" t="s">
        <v>1502</v>
      </c>
    </row>
    <row r="108" spans="3:10">
      <c r="C108" t="s">
        <v>3752</v>
      </c>
      <c r="D108" t="s">
        <v>242</v>
      </c>
      <c r="E108">
        <v>3</v>
      </c>
      <c r="F108">
        <v>1</v>
      </c>
      <c r="G108">
        <v>1</v>
      </c>
      <c r="H108">
        <v>150</v>
      </c>
      <c r="J108" t="s">
        <v>1503</v>
      </c>
    </row>
    <row r="109" spans="3:10">
      <c r="C109" t="s">
        <v>242</v>
      </c>
      <c r="D109" t="s">
        <v>3752</v>
      </c>
      <c r="E109">
        <v>3</v>
      </c>
      <c r="F109">
        <v>2</v>
      </c>
      <c r="G109">
        <v>1</v>
      </c>
      <c r="H109">
        <v>155</v>
      </c>
      <c r="J109" t="s">
        <v>1504</v>
      </c>
    </row>
    <row r="110" spans="3:10">
      <c r="C110" t="s">
        <v>242</v>
      </c>
      <c r="D110" t="s">
        <v>180</v>
      </c>
      <c r="E110">
        <v>3</v>
      </c>
      <c r="F110">
        <v>1</v>
      </c>
      <c r="G110">
        <v>1</v>
      </c>
      <c r="H110">
        <v>165</v>
      </c>
      <c r="J110" t="s">
        <v>1505</v>
      </c>
    </row>
    <row r="111" spans="3:10">
      <c r="C111" t="s">
        <v>180</v>
      </c>
      <c r="D111" t="s">
        <v>242</v>
      </c>
      <c r="E111">
        <v>3</v>
      </c>
      <c r="F111">
        <v>2</v>
      </c>
      <c r="G111">
        <v>1</v>
      </c>
      <c r="H111">
        <v>170</v>
      </c>
      <c r="J111" t="s">
        <v>1506</v>
      </c>
    </row>
    <row r="112" spans="3:10">
      <c r="C112" t="s">
        <v>180</v>
      </c>
      <c r="D112" t="s">
        <v>243</v>
      </c>
      <c r="E112">
        <v>3</v>
      </c>
      <c r="F112">
        <v>1</v>
      </c>
      <c r="G112">
        <v>1</v>
      </c>
      <c r="H112">
        <v>185</v>
      </c>
      <c r="J112" t="s">
        <v>1507</v>
      </c>
    </row>
    <row r="113" spans="3:10">
      <c r="C113" t="s">
        <v>243</v>
      </c>
      <c r="D113" t="s">
        <v>180</v>
      </c>
      <c r="E113">
        <v>3</v>
      </c>
      <c r="F113">
        <v>2</v>
      </c>
      <c r="G113">
        <v>1</v>
      </c>
      <c r="H113">
        <v>200</v>
      </c>
      <c r="J113" t="s">
        <v>1508</v>
      </c>
    </row>
    <row r="114" spans="3:10">
      <c r="C114" t="s">
        <v>243</v>
      </c>
      <c r="D114" t="s">
        <v>244</v>
      </c>
      <c r="E114">
        <v>3</v>
      </c>
      <c r="F114">
        <v>1</v>
      </c>
      <c r="G114">
        <v>1</v>
      </c>
      <c r="H114">
        <v>165</v>
      </c>
      <c r="J114" t="s">
        <v>1509</v>
      </c>
    </row>
    <row r="115" spans="3:10">
      <c r="C115" t="s">
        <v>244</v>
      </c>
      <c r="D115" t="s">
        <v>243</v>
      </c>
      <c r="E115">
        <v>3</v>
      </c>
      <c r="F115">
        <v>2</v>
      </c>
      <c r="G115">
        <v>1</v>
      </c>
      <c r="H115">
        <v>165</v>
      </c>
      <c r="J115" t="s">
        <v>1510</v>
      </c>
    </row>
    <row r="116" spans="3:10">
      <c r="C116" t="s">
        <v>244</v>
      </c>
      <c r="D116" t="s">
        <v>245</v>
      </c>
      <c r="E116">
        <v>3</v>
      </c>
      <c r="F116">
        <v>1</v>
      </c>
      <c r="G116">
        <v>1</v>
      </c>
      <c r="H116">
        <v>155</v>
      </c>
      <c r="J116" t="s">
        <v>1511</v>
      </c>
    </row>
    <row r="117" spans="3:10">
      <c r="C117" t="s">
        <v>245</v>
      </c>
      <c r="D117" t="s">
        <v>244</v>
      </c>
      <c r="E117">
        <v>3</v>
      </c>
      <c r="F117">
        <v>2</v>
      </c>
      <c r="G117">
        <v>1</v>
      </c>
      <c r="H117">
        <v>165</v>
      </c>
      <c r="J117" t="s">
        <v>1512</v>
      </c>
    </row>
    <row r="118" spans="3:10">
      <c r="C118" t="s">
        <v>245</v>
      </c>
      <c r="D118" t="s">
        <v>424</v>
      </c>
      <c r="E118">
        <v>3</v>
      </c>
      <c r="F118">
        <v>1</v>
      </c>
      <c r="G118">
        <v>1</v>
      </c>
      <c r="H118">
        <v>170</v>
      </c>
      <c r="J118" t="s">
        <v>1513</v>
      </c>
    </row>
    <row r="119" spans="3:10">
      <c r="C119" t="s">
        <v>246</v>
      </c>
      <c r="D119" t="s">
        <v>424</v>
      </c>
      <c r="E119">
        <v>3</v>
      </c>
      <c r="F119">
        <v>2</v>
      </c>
      <c r="G119">
        <v>1</v>
      </c>
      <c r="H119">
        <v>180</v>
      </c>
      <c r="J119" t="s">
        <v>1514</v>
      </c>
    </row>
    <row r="120" spans="3:10">
      <c r="C120" t="s">
        <v>246</v>
      </c>
      <c r="D120" t="s">
        <v>247</v>
      </c>
      <c r="E120">
        <v>3</v>
      </c>
      <c r="F120">
        <v>1</v>
      </c>
      <c r="G120">
        <v>1</v>
      </c>
      <c r="H120">
        <v>165</v>
      </c>
      <c r="J120" t="s">
        <v>1515</v>
      </c>
    </row>
    <row r="121" spans="3:10">
      <c r="C121" t="s">
        <v>247</v>
      </c>
      <c r="D121" t="s">
        <v>246</v>
      </c>
      <c r="E121">
        <v>3</v>
      </c>
      <c r="F121">
        <v>2</v>
      </c>
      <c r="G121">
        <v>1</v>
      </c>
      <c r="H121">
        <v>165</v>
      </c>
      <c r="J121" t="s">
        <v>1516</v>
      </c>
    </row>
    <row r="122" spans="3:10">
      <c r="C122" t="s">
        <v>247</v>
      </c>
      <c r="D122" t="s">
        <v>248</v>
      </c>
      <c r="E122">
        <v>3</v>
      </c>
      <c r="F122">
        <v>1</v>
      </c>
      <c r="G122">
        <v>1</v>
      </c>
      <c r="H122">
        <v>160</v>
      </c>
      <c r="J122" t="s">
        <v>1517</v>
      </c>
    </row>
    <row r="123" spans="3:10">
      <c r="C123" t="s">
        <v>248</v>
      </c>
      <c r="D123" t="s">
        <v>247</v>
      </c>
      <c r="E123">
        <v>3</v>
      </c>
      <c r="F123">
        <v>2</v>
      </c>
      <c r="G123">
        <v>1</v>
      </c>
      <c r="H123">
        <v>170</v>
      </c>
      <c r="J123" t="s">
        <v>1518</v>
      </c>
    </row>
    <row r="124" spans="3:10">
      <c r="C124" t="s">
        <v>248</v>
      </c>
      <c r="D124" t="s">
        <v>249</v>
      </c>
      <c r="E124">
        <v>3</v>
      </c>
      <c r="F124">
        <v>1</v>
      </c>
      <c r="G124">
        <v>1</v>
      </c>
      <c r="H124">
        <v>195</v>
      </c>
      <c r="J124" t="s">
        <v>1519</v>
      </c>
    </row>
    <row r="125" spans="3:10">
      <c r="C125" t="s">
        <v>249</v>
      </c>
      <c r="D125" t="s">
        <v>248</v>
      </c>
      <c r="E125">
        <v>3</v>
      </c>
      <c r="F125">
        <v>2</v>
      </c>
      <c r="G125">
        <v>1</v>
      </c>
      <c r="H125">
        <v>200</v>
      </c>
      <c r="J125" t="s">
        <v>1520</v>
      </c>
    </row>
    <row r="126" spans="3:10">
      <c r="C126" t="s">
        <v>249</v>
      </c>
      <c r="D126" t="s">
        <v>190</v>
      </c>
      <c r="E126">
        <v>3</v>
      </c>
      <c r="F126">
        <v>1</v>
      </c>
      <c r="G126">
        <v>1</v>
      </c>
      <c r="H126">
        <v>230</v>
      </c>
      <c r="J126" t="s">
        <v>1521</v>
      </c>
    </row>
    <row r="127" spans="3:10">
      <c r="C127" t="s">
        <v>190</v>
      </c>
      <c r="D127" t="s">
        <v>249</v>
      </c>
      <c r="E127">
        <v>3</v>
      </c>
      <c r="F127">
        <v>2</v>
      </c>
      <c r="G127">
        <v>1</v>
      </c>
      <c r="H127">
        <v>185</v>
      </c>
      <c r="J127" t="s">
        <v>1522</v>
      </c>
    </row>
    <row r="128" spans="3:10">
      <c r="C128" t="s">
        <v>424</v>
      </c>
      <c r="D128" t="s">
        <v>245</v>
      </c>
      <c r="E128">
        <v>3</v>
      </c>
      <c r="F128">
        <v>1</v>
      </c>
      <c r="G128">
        <v>1</v>
      </c>
      <c r="H128">
        <v>165</v>
      </c>
      <c r="J128" t="s">
        <v>1523</v>
      </c>
    </row>
    <row r="129" spans="3:10">
      <c r="C129" t="s">
        <v>424</v>
      </c>
      <c r="D129" t="s">
        <v>246</v>
      </c>
      <c r="E129">
        <v>3</v>
      </c>
      <c r="F129">
        <v>2</v>
      </c>
      <c r="G129">
        <v>1</v>
      </c>
      <c r="H129">
        <v>190</v>
      </c>
      <c r="J129" t="s">
        <v>1524</v>
      </c>
    </row>
    <row r="130" spans="3:10">
      <c r="C130" t="s">
        <v>172</v>
      </c>
      <c r="D130" t="s">
        <v>3753</v>
      </c>
      <c r="E130">
        <v>4</v>
      </c>
      <c r="F130">
        <v>1</v>
      </c>
      <c r="G130">
        <v>1</v>
      </c>
      <c r="H130">
        <v>160</v>
      </c>
      <c r="J130" t="s">
        <v>1525</v>
      </c>
    </row>
    <row r="131" spans="3:10">
      <c r="C131" t="s">
        <v>3753</v>
      </c>
      <c r="D131" t="s">
        <v>172</v>
      </c>
      <c r="E131">
        <v>4</v>
      </c>
      <c r="F131">
        <v>2</v>
      </c>
      <c r="G131">
        <v>1</v>
      </c>
      <c r="H131">
        <v>190</v>
      </c>
      <c r="J131" t="s">
        <v>1526</v>
      </c>
    </row>
    <row r="132" spans="3:10">
      <c r="C132" t="s">
        <v>3753</v>
      </c>
      <c r="D132" t="s">
        <v>251</v>
      </c>
      <c r="E132">
        <v>4</v>
      </c>
      <c r="F132">
        <v>1</v>
      </c>
      <c r="G132">
        <v>1</v>
      </c>
      <c r="H132">
        <v>165</v>
      </c>
      <c r="J132" t="s">
        <v>1527</v>
      </c>
    </row>
    <row r="133" spans="3:10">
      <c r="C133" t="s">
        <v>251</v>
      </c>
      <c r="D133" t="s">
        <v>3753</v>
      </c>
      <c r="E133">
        <v>4</v>
      </c>
      <c r="F133">
        <v>2</v>
      </c>
      <c r="G133">
        <v>1</v>
      </c>
      <c r="H133">
        <v>165</v>
      </c>
      <c r="J133" t="s">
        <v>1528</v>
      </c>
    </row>
    <row r="134" spans="3:10">
      <c r="C134" t="s">
        <v>251</v>
      </c>
      <c r="D134" t="s">
        <v>252</v>
      </c>
      <c r="E134">
        <v>4</v>
      </c>
      <c r="F134">
        <v>1</v>
      </c>
      <c r="G134">
        <v>1</v>
      </c>
      <c r="H134">
        <v>155</v>
      </c>
      <c r="J134" t="s">
        <v>1529</v>
      </c>
    </row>
    <row r="135" spans="3:10">
      <c r="C135" t="s">
        <v>252</v>
      </c>
      <c r="D135" t="s">
        <v>251</v>
      </c>
      <c r="E135">
        <v>4</v>
      </c>
      <c r="F135">
        <v>2</v>
      </c>
      <c r="G135">
        <v>1</v>
      </c>
      <c r="H135">
        <v>155</v>
      </c>
      <c r="J135" t="s">
        <v>1530</v>
      </c>
    </row>
    <row r="136" spans="3:10">
      <c r="C136" t="s">
        <v>252</v>
      </c>
      <c r="D136" t="s">
        <v>253</v>
      </c>
      <c r="E136">
        <v>4</v>
      </c>
      <c r="F136">
        <v>1</v>
      </c>
      <c r="G136">
        <v>1</v>
      </c>
      <c r="H136">
        <v>170</v>
      </c>
      <c r="J136" t="s">
        <v>1531</v>
      </c>
    </row>
    <row r="137" spans="3:10">
      <c r="C137" t="s">
        <v>253</v>
      </c>
      <c r="D137" t="s">
        <v>252</v>
      </c>
      <c r="E137">
        <v>4</v>
      </c>
      <c r="F137">
        <v>2</v>
      </c>
      <c r="G137">
        <v>1</v>
      </c>
      <c r="H137">
        <v>170</v>
      </c>
      <c r="J137" t="s">
        <v>1532</v>
      </c>
    </row>
    <row r="138" spans="3:10">
      <c r="C138" t="s">
        <v>253</v>
      </c>
      <c r="D138" t="s">
        <v>254</v>
      </c>
      <c r="E138">
        <v>4</v>
      </c>
      <c r="F138">
        <v>1</v>
      </c>
      <c r="G138">
        <v>1</v>
      </c>
      <c r="H138">
        <v>155</v>
      </c>
      <c r="J138" t="s">
        <v>1533</v>
      </c>
    </row>
    <row r="139" spans="3:10">
      <c r="C139" t="s">
        <v>254</v>
      </c>
      <c r="D139" t="s">
        <v>253</v>
      </c>
      <c r="E139">
        <v>4</v>
      </c>
      <c r="F139">
        <v>2</v>
      </c>
      <c r="G139">
        <v>1</v>
      </c>
      <c r="H139">
        <v>175</v>
      </c>
      <c r="J139" t="s">
        <v>1534</v>
      </c>
    </row>
    <row r="140" spans="3:10">
      <c r="C140" t="s">
        <v>254</v>
      </c>
      <c r="D140" t="s">
        <v>212</v>
      </c>
      <c r="E140">
        <v>4</v>
      </c>
      <c r="F140">
        <v>1</v>
      </c>
      <c r="G140">
        <v>1</v>
      </c>
      <c r="H140">
        <v>175</v>
      </c>
      <c r="J140" t="s">
        <v>1535</v>
      </c>
    </row>
    <row r="141" spans="3:10">
      <c r="C141" t="s">
        <v>212</v>
      </c>
      <c r="D141" t="s">
        <v>254</v>
      </c>
      <c r="E141">
        <v>4</v>
      </c>
      <c r="F141">
        <v>2</v>
      </c>
      <c r="G141">
        <v>1</v>
      </c>
      <c r="H141">
        <v>175</v>
      </c>
      <c r="J141" t="s">
        <v>1536</v>
      </c>
    </row>
    <row r="142" spans="3:10">
      <c r="C142" t="s">
        <v>212</v>
      </c>
      <c r="D142" t="s">
        <v>255</v>
      </c>
      <c r="E142">
        <v>4</v>
      </c>
      <c r="F142">
        <v>1</v>
      </c>
      <c r="G142">
        <v>1</v>
      </c>
      <c r="H142">
        <v>150</v>
      </c>
      <c r="J142" t="s">
        <v>1537</v>
      </c>
    </row>
    <row r="143" spans="3:10">
      <c r="C143" t="s">
        <v>255</v>
      </c>
      <c r="D143" t="s">
        <v>212</v>
      </c>
      <c r="E143">
        <v>4</v>
      </c>
      <c r="F143">
        <v>2</v>
      </c>
      <c r="G143">
        <v>1</v>
      </c>
      <c r="H143">
        <v>150</v>
      </c>
      <c r="J143" t="s">
        <v>1538</v>
      </c>
    </row>
    <row r="144" spans="3:10">
      <c r="C144" t="s">
        <v>255</v>
      </c>
      <c r="D144" t="s">
        <v>256</v>
      </c>
      <c r="E144">
        <v>4</v>
      </c>
      <c r="F144">
        <v>1</v>
      </c>
      <c r="G144">
        <v>1</v>
      </c>
      <c r="H144">
        <v>155</v>
      </c>
      <c r="J144" t="s">
        <v>1539</v>
      </c>
    </row>
    <row r="145" spans="3:10">
      <c r="C145" t="s">
        <v>256</v>
      </c>
      <c r="D145" t="s">
        <v>255</v>
      </c>
      <c r="E145">
        <v>4</v>
      </c>
      <c r="F145">
        <v>2</v>
      </c>
      <c r="G145">
        <v>1</v>
      </c>
      <c r="H145">
        <v>160</v>
      </c>
      <c r="J145" t="s">
        <v>1540</v>
      </c>
    </row>
    <row r="146" spans="3:10">
      <c r="C146" t="s">
        <v>256</v>
      </c>
      <c r="D146" t="s">
        <v>3743</v>
      </c>
      <c r="E146">
        <v>4</v>
      </c>
      <c r="F146">
        <v>1</v>
      </c>
      <c r="G146">
        <v>1</v>
      </c>
      <c r="H146">
        <v>180</v>
      </c>
      <c r="J146" t="s">
        <v>1541</v>
      </c>
    </row>
    <row r="147" spans="3:10">
      <c r="C147" t="s">
        <v>3743</v>
      </c>
      <c r="D147" t="s">
        <v>256</v>
      </c>
      <c r="E147">
        <v>4</v>
      </c>
      <c r="F147">
        <v>2</v>
      </c>
      <c r="G147">
        <v>1</v>
      </c>
      <c r="H147">
        <v>135</v>
      </c>
      <c r="J147" t="s">
        <v>1542</v>
      </c>
    </row>
    <row r="148" spans="3:10">
      <c r="C148" t="s">
        <v>3744</v>
      </c>
      <c r="D148" t="s">
        <v>3754</v>
      </c>
      <c r="E148">
        <v>5</v>
      </c>
      <c r="F148">
        <v>1</v>
      </c>
      <c r="G148">
        <v>1</v>
      </c>
      <c r="H148">
        <v>175</v>
      </c>
      <c r="J148" t="s">
        <v>1543</v>
      </c>
    </row>
    <row r="149" spans="3:10">
      <c r="C149" t="s">
        <v>3754</v>
      </c>
      <c r="D149" t="s">
        <v>3744</v>
      </c>
      <c r="E149">
        <v>5</v>
      </c>
      <c r="F149">
        <v>2</v>
      </c>
      <c r="G149">
        <v>1</v>
      </c>
      <c r="H149">
        <v>130</v>
      </c>
      <c r="J149" t="s">
        <v>1544</v>
      </c>
    </row>
    <row r="150" spans="3:10">
      <c r="C150" t="s">
        <v>3754</v>
      </c>
      <c r="D150" t="s">
        <v>257</v>
      </c>
      <c r="E150">
        <v>5</v>
      </c>
      <c r="F150">
        <v>1</v>
      </c>
      <c r="G150">
        <v>1</v>
      </c>
      <c r="H150">
        <v>165</v>
      </c>
      <c r="J150" t="s">
        <v>1545</v>
      </c>
    </row>
    <row r="151" spans="3:10">
      <c r="C151" t="s">
        <v>257</v>
      </c>
      <c r="D151" t="s">
        <v>3754</v>
      </c>
      <c r="E151">
        <v>5</v>
      </c>
      <c r="F151">
        <v>2</v>
      </c>
      <c r="G151">
        <v>1</v>
      </c>
      <c r="H151">
        <v>170</v>
      </c>
      <c r="J151" t="s">
        <v>1546</v>
      </c>
    </row>
    <row r="152" spans="3:10">
      <c r="C152" t="s">
        <v>257</v>
      </c>
      <c r="D152" t="s">
        <v>238</v>
      </c>
      <c r="E152">
        <v>5</v>
      </c>
      <c r="F152">
        <v>1</v>
      </c>
      <c r="G152">
        <v>1</v>
      </c>
      <c r="H152">
        <v>165</v>
      </c>
      <c r="J152" t="s">
        <v>1547</v>
      </c>
    </row>
    <row r="153" spans="3:10">
      <c r="C153" t="s">
        <v>238</v>
      </c>
      <c r="D153" t="s">
        <v>257</v>
      </c>
      <c r="E153">
        <v>5</v>
      </c>
      <c r="F153">
        <v>2</v>
      </c>
      <c r="G153">
        <v>1</v>
      </c>
      <c r="H153">
        <v>170</v>
      </c>
      <c r="J153" t="s">
        <v>1548</v>
      </c>
    </row>
    <row r="154" spans="3:10">
      <c r="C154" t="s">
        <v>238</v>
      </c>
      <c r="D154" t="s">
        <v>258</v>
      </c>
      <c r="E154">
        <v>5</v>
      </c>
      <c r="F154">
        <v>1</v>
      </c>
      <c r="G154">
        <v>1</v>
      </c>
      <c r="H154">
        <v>160</v>
      </c>
      <c r="J154" t="s">
        <v>1549</v>
      </c>
    </row>
    <row r="155" spans="3:10">
      <c r="C155" t="s">
        <v>258</v>
      </c>
      <c r="D155" t="s">
        <v>238</v>
      </c>
      <c r="E155">
        <v>5</v>
      </c>
      <c r="F155">
        <v>2</v>
      </c>
      <c r="G155">
        <v>1</v>
      </c>
      <c r="H155">
        <v>160</v>
      </c>
      <c r="J155" t="s">
        <v>1550</v>
      </c>
    </row>
    <row r="156" spans="3:10">
      <c r="C156" t="s">
        <v>258</v>
      </c>
      <c r="D156" t="s">
        <v>259</v>
      </c>
      <c r="E156">
        <v>5</v>
      </c>
      <c r="F156">
        <v>1</v>
      </c>
      <c r="G156">
        <v>1</v>
      </c>
      <c r="H156">
        <v>160</v>
      </c>
      <c r="J156" t="s">
        <v>1551</v>
      </c>
    </row>
    <row r="157" spans="3:10">
      <c r="C157" t="s">
        <v>259</v>
      </c>
      <c r="D157" t="s">
        <v>258</v>
      </c>
      <c r="E157">
        <v>5</v>
      </c>
      <c r="F157">
        <v>2</v>
      </c>
      <c r="G157">
        <v>1</v>
      </c>
      <c r="H157">
        <v>155</v>
      </c>
      <c r="J157" t="s">
        <v>1552</v>
      </c>
    </row>
    <row r="158" spans="3:10">
      <c r="C158" t="s">
        <v>259</v>
      </c>
      <c r="D158" t="s">
        <v>252</v>
      </c>
      <c r="E158">
        <v>5</v>
      </c>
      <c r="F158">
        <v>1</v>
      </c>
      <c r="G158">
        <v>1</v>
      </c>
      <c r="H158">
        <v>145</v>
      </c>
      <c r="J158" t="s">
        <v>1553</v>
      </c>
    </row>
    <row r="159" spans="3:10">
      <c r="C159" t="s">
        <v>252</v>
      </c>
      <c r="D159" t="s">
        <v>259</v>
      </c>
      <c r="E159">
        <v>5</v>
      </c>
      <c r="F159">
        <v>2</v>
      </c>
      <c r="G159">
        <v>1</v>
      </c>
      <c r="H159">
        <v>160</v>
      </c>
      <c r="J159" t="s">
        <v>1554</v>
      </c>
    </row>
    <row r="160" spans="3:10">
      <c r="C160" t="s">
        <v>252</v>
      </c>
      <c r="D160" t="s">
        <v>3755</v>
      </c>
      <c r="E160">
        <v>5</v>
      </c>
      <c r="F160">
        <v>1</v>
      </c>
      <c r="G160">
        <v>1</v>
      </c>
      <c r="H160">
        <v>165</v>
      </c>
      <c r="J160" t="s">
        <v>1555</v>
      </c>
    </row>
    <row r="161" spans="3:10">
      <c r="C161" t="s">
        <v>3755</v>
      </c>
      <c r="D161" t="s">
        <v>252</v>
      </c>
      <c r="E161">
        <v>5</v>
      </c>
      <c r="F161">
        <v>2</v>
      </c>
      <c r="G161">
        <v>1</v>
      </c>
      <c r="H161">
        <v>165</v>
      </c>
      <c r="J161" t="s">
        <v>1556</v>
      </c>
    </row>
    <row r="162" spans="3:10">
      <c r="C162" t="s">
        <v>3755</v>
      </c>
      <c r="D162" t="s">
        <v>3756</v>
      </c>
      <c r="E162">
        <v>5</v>
      </c>
      <c r="F162">
        <v>1</v>
      </c>
      <c r="G162">
        <v>1</v>
      </c>
      <c r="H162">
        <v>160</v>
      </c>
      <c r="J162" t="s">
        <v>1557</v>
      </c>
    </row>
    <row r="163" spans="3:10">
      <c r="C163" t="s">
        <v>3756</v>
      </c>
      <c r="D163" t="s">
        <v>3755</v>
      </c>
      <c r="E163">
        <v>5</v>
      </c>
      <c r="F163">
        <v>2</v>
      </c>
      <c r="G163">
        <v>1</v>
      </c>
      <c r="H163">
        <v>165</v>
      </c>
      <c r="J163" t="s">
        <v>1558</v>
      </c>
    </row>
    <row r="164" spans="3:10">
      <c r="C164" t="s">
        <v>3756</v>
      </c>
      <c r="D164" t="s">
        <v>3757</v>
      </c>
      <c r="E164">
        <v>5</v>
      </c>
      <c r="F164">
        <v>1</v>
      </c>
      <c r="G164">
        <v>1</v>
      </c>
      <c r="H164">
        <v>180</v>
      </c>
      <c r="J164" t="s">
        <v>1559</v>
      </c>
    </row>
    <row r="165" spans="3:10">
      <c r="C165" t="s">
        <v>3757</v>
      </c>
      <c r="D165" t="s">
        <v>3756</v>
      </c>
      <c r="E165">
        <v>5</v>
      </c>
      <c r="F165">
        <v>2</v>
      </c>
      <c r="G165">
        <v>1</v>
      </c>
      <c r="H165">
        <v>185</v>
      </c>
      <c r="J165" t="s">
        <v>1560</v>
      </c>
    </row>
    <row r="166" spans="3:10">
      <c r="C166" t="s">
        <v>3757</v>
      </c>
      <c r="D166" t="s">
        <v>262</v>
      </c>
      <c r="E166">
        <v>5</v>
      </c>
      <c r="F166">
        <v>1</v>
      </c>
      <c r="G166">
        <v>1</v>
      </c>
      <c r="H166">
        <v>180</v>
      </c>
      <c r="J166" t="s">
        <v>1561</v>
      </c>
    </row>
    <row r="167" spans="3:10">
      <c r="C167" t="s">
        <v>262</v>
      </c>
      <c r="D167" t="s">
        <v>3757</v>
      </c>
      <c r="E167">
        <v>5</v>
      </c>
      <c r="F167">
        <v>2</v>
      </c>
      <c r="G167">
        <v>1</v>
      </c>
      <c r="H167">
        <v>190</v>
      </c>
      <c r="J167" t="s">
        <v>1562</v>
      </c>
    </row>
    <row r="168" spans="3:10">
      <c r="C168" t="s">
        <v>262</v>
      </c>
      <c r="D168" t="s">
        <v>263</v>
      </c>
      <c r="E168">
        <v>5</v>
      </c>
      <c r="F168">
        <v>1</v>
      </c>
      <c r="G168">
        <v>1</v>
      </c>
      <c r="H168">
        <v>170</v>
      </c>
      <c r="J168" t="s">
        <v>1563</v>
      </c>
    </row>
    <row r="169" spans="3:10">
      <c r="C169" t="s">
        <v>263</v>
      </c>
      <c r="D169" t="s">
        <v>262</v>
      </c>
      <c r="E169">
        <v>5</v>
      </c>
      <c r="F169">
        <v>2</v>
      </c>
      <c r="G169">
        <v>1</v>
      </c>
      <c r="H169">
        <v>175</v>
      </c>
      <c r="J169" t="s">
        <v>1564</v>
      </c>
    </row>
    <row r="170" spans="3:10">
      <c r="C170" t="s">
        <v>263</v>
      </c>
      <c r="D170" t="s">
        <v>3742</v>
      </c>
      <c r="E170">
        <v>5</v>
      </c>
      <c r="F170">
        <v>1</v>
      </c>
      <c r="G170">
        <v>1</v>
      </c>
      <c r="H170">
        <v>220</v>
      </c>
      <c r="J170" t="s">
        <v>1565</v>
      </c>
    </row>
    <row r="171" spans="3:10">
      <c r="C171" t="s">
        <v>3742</v>
      </c>
      <c r="D171" t="s">
        <v>263</v>
      </c>
      <c r="E171">
        <v>5</v>
      </c>
      <c r="F171">
        <v>2</v>
      </c>
      <c r="G171">
        <v>1</v>
      </c>
      <c r="H171">
        <v>205</v>
      </c>
      <c r="J171" t="s">
        <v>1566</v>
      </c>
    </row>
    <row r="172" spans="3:10">
      <c r="C172" t="s">
        <v>174</v>
      </c>
      <c r="D172" t="s">
        <v>200</v>
      </c>
      <c r="E172">
        <v>6</v>
      </c>
      <c r="F172">
        <v>1</v>
      </c>
      <c r="G172">
        <v>1</v>
      </c>
      <c r="H172">
        <v>190</v>
      </c>
      <c r="J172" t="s">
        <v>1567</v>
      </c>
    </row>
    <row r="173" spans="3:10">
      <c r="C173" t="s">
        <v>200</v>
      </c>
      <c r="D173" t="s">
        <v>174</v>
      </c>
      <c r="E173">
        <v>6</v>
      </c>
      <c r="F173">
        <v>2</v>
      </c>
      <c r="G173">
        <v>1</v>
      </c>
      <c r="H173">
        <v>220</v>
      </c>
      <c r="J173" t="s">
        <v>1568</v>
      </c>
    </row>
    <row r="174" spans="3:10">
      <c r="C174" t="s">
        <v>200</v>
      </c>
      <c r="D174" t="s">
        <v>264</v>
      </c>
      <c r="E174">
        <v>6</v>
      </c>
      <c r="F174">
        <v>1</v>
      </c>
      <c r="G174">
        <v>1</v>
      </c>
      <c r="H174">
        <v>170</v>
      </c>
      <c r="J174" t="s">
        <v>1569</v>
      </c>
    </row>
    <row r="175" spans="3:10">
      <c r="C175" t="s">
        <v>264</v>
      </c>
      <c r="D175" t="s">
        <v>200</v>
      </c>
      <c r="E175">
        <v>6</v>
      </c>
      <c r="F175">
        <v>2</v>
      </c>
      <c r="G175">
        <v>1</v>
      </c>
      <c r="H175">
        <v>175</v>
      </c>
      <c r="J175" t="s">
        <v>1570</v>
      </c>
    </row>
    <row r="176" spans="3:10">
      <c r="C176" t="s">
        <v>264</v>
      </c>
      <c r="D176" t="s">
        <v>3758</v>
      </c>
      <c r="E176">
        <v>6</v>
      </c>
      <c r="F176">
        <v>1</v>
      </c>
      <c r="G176">
        <v>1</v>
      </c>
      <c r="H176">
        <v>180</v>
      </c>
      <c r="J176" t="s">
        <v>1571</v>
      </c>
    </row>
    <row r="177" spans="3:10">
      <c r="C177" t="s">
        <v>3758</v>
      </c>
      <c r="D177" t="s">
        <v>264</v>
      </c>
      <c r="E177">
        <v>6</v>
      </c>
      <c r="F177">
        <v>2</v>
      </c>
      <c r="G177">
        <v>1</v>
      </c>
      <c r="H177">
        <v>180</v>
      </c>
      <c r="J177" t="s">
        <v>1572</v>
      </c>
    </row>
    <row r="178" spans="3:10">
      <c r="C178" t="s">
        <v>3758</v>
      </c>
      <c r="D178" t="s">
        <v>266</v>
      </c>
      <c r="E178">
        <v>6</v>
      </c>
      <c r="F178">
        <v>1</v>
      </c>
      <c r="G178">
        <v>1</v>
      </c>
      <c r="H178">
        <v>170</v>
      </c>
      <c r="J178" t="s">
        <v>1573</v>
      </c>
    </row>
    <row r="179" spans="3:10">
      <c r="C179" t="s">
        <v>266</v>
      </c>
      <c r="D179" t="s">
        <v>3758</v>
      </c>
      <c r="E179">
        <v>6</v>
      </c>
      <c r="F179">
        <v>2</v>
      </c>
      <c r="G179">
        <v>1</v>
      </c>
      <c r="H179">
        <v>175</v>
      </c>
      <c r="J179" t="s">
        <v>1574</v>
      </c>
    </row>
    <row r="180" spans="3:10">
      <c r="C180" t="s">
        <v>266</v>
      </c>
      <c r="D180" t="s">
        <v>267</v>
      </c>
      <c r="E180">
        <v>6</v>
      </c>
      <c r="F180">
        <v>1</v>
      </c>
      <c r="G180">
        <v>1</v>
      </c>
      <c r="H180">
        <v>150</v>
      </c>
      <c r="J180" t="s">
        <v>1575</v>
      </c>
    </row>
    <row r="181" spans="3:10">
      <c r="C181" t="s">
        <v>267</v>
      </c>
      <c r="D181" t="s">
        <v>266</v>
      </c>
      <c r="E181">
        <v>6</v>
      </c>
      <c r="F181">
        <v>2</v>
      </c>
      <c r="G181">
        <v>1</v>
      </c>
      <c r="H181">
        <v>150</v>
      </c>
      <c r="J181" t="s">
        <v>1576</v>
      </c>
    </row>
    <row r="182" spans="3:10">
      <c r="C182" t="s">
        <v>267</v>
      </c>
      <c r="D182" t="s">
        <v>3754</v>
      </c>
      <c r="E182">
        <v>6</v>
      </c>
      <c r="F182">
        <v>1</v>
      </c>
      <c r="G182">
        <v>1</v>
      </c>
      <c r="H182">
        <v>160</v>
      </c>
      <c r="J182" t="s">
        <v>1577</v>
      </c>
    </row>
    <row r="183" spans="3:10">
      <c r="C183" t="s">
        <v>3754</v>
      </c>
      <c r="D183" t="s">
        <v>267</v>
      </c>
      <c r="E183">
        <v>6</v>
      </c>
      <c r="F183">
        <v>2</v>
      </c>
      <c r="G183">
        <v>1</v>
      </c>
      <c r="H183">
        <v>155</v>
      </c>
      <c r="J183" t="s">
        <v>1578</v>
      </c>
    </row>
    <row r="184" spans="3:10">
      <c r="C184" t="s">
        <v>3754</v>
      </c>
      <c r="D184" t="s">
        <v>268</v>
      </c>
      <c r="E184">
        <v>6</v>
      </c>
      <c r="F184">
        <v>1</v>
      </c>
      <c r="G184">
        <v>1</v>
      </c>
      <c r="H184">
        <v>180</v>
      </c>
      <c r="J184" t="s">
        <v>1579</v>
      </c>
    </row>
    <row r="185" spans="3:10">
      <c r="C185" t="s">
        <v>268</v>
      </c>
      <c r="D185" t="s">
        <v>3754</v>
      </c>
      <c r="E185">
        <v>6</v>
      </c>
      <c r="F185">
        <v>2</v>
      </c>
      <c r="G185">
        <v>1</v>
      </c>
      <c r="H185">
        <v>185</v>
      </c>
      <c r="J185" t="s">
        <v>1580</v>
      </c>
    </row>
    <row r="186" spans="3:10">
      <c r="C186" t="s">
        <v>268</v>
      </c>
      <c r="D186" t="s">
        <v>171</v>
      </c>
      <c r="E186">
        <v>6</v>
      </c>
      <c r="F186">
        <v>1</v>
      </c>
      <c r="G186">
        <v>1</v>
      </c>
      <c r="H186">
        <v>170</v>
      </c>
      <c r="J186" t="s">
        <v>1581</v>
      </c>
    </row>
    <row r="187" spans="3:10">
      <c r="C187" t="s">
        <v>171</v>
      </c>
      <c r="D187" t="s">
        <v>268</v>
      </c>
      <c r="E187">
        <v>6</v>
      </c>
      <c r="F187">
        <v>2</v>
      </c>
      <c r="G187">
        <v>1</v>
      </c>
      <c r="H187">
        <v>170</v>
      </c>
      <c r="J187" t="s">
        <v>1582</v>
      </c>
    </row>
    <row r="188" spans="3:10">
      <c r="C188" t="s">
        <v>171</v>
      </c>
      <c r="D188" t="s">
        <v>3759</v>
      </c>
      <c r="E188">
        <v>6</v>
      </c>
      <c r="F188">
        <v>1</v>
      </c>
      <c r="G188">
        <v>1</v>
      </c>
      <c r="H188">
        <v>140</v>
      </c>
      <c r="J188" t="s">
        <v>1583</v>
      </c>
    </row>
    <row r="189" spans="3:10">
      <c r="C189" t="s">
        <v>3759</v>
      </c>
      <c r="D189" t="s">
        <v>171</v>
      </c>
      <c r="E189">
        <v>6</v>
      </c>
      <c r="F189">
        <v>2</v>
      </c>
      <c r="G189">
        <v>1</v>
      </c>
      <c r="H189">
        <v>150</v>
      </c>
      <c r="J189" t="s">
        <v>1584</v>
      </c>
    </row>
    <row r="190" spans="3:10">
      <c r="C190" t="s">
        <v>3759</v>
      </c>
      <c r="D190" t="s">
        <v>172</v>
      </c>
      <c r="E190">
        <v>6</v>
      </c>
      <c r="F190">
        <v>1</v>
      </c>
      <c r="G190">
        <v>1</v>
      </c>
      <c r="H190">
        <v>190</v>
      </c>
      <c r="J190" t="s">
        <v>1585</v>
      </c>
    </row>
    <row r="191" spans="3:10">
      <c r="C191" t="s">
        <v>172</v>
      </c>
      <c r="D191" t="s">
        <v>3759</v>
      </c>
      <c r="E191">
        <v>6</v>
      </c>
      <c r="F191">
        <v>2</v>
      </c>
      <c r="G191">
        <v>1</v>
      </c>
      <c r="H191">
        <v>160</v>
      </c>
      <c r="J191" t="s">
        <v>1586</v>
      </c>
    </row>
    <row r="192" spans="3:10">
      <c r="C192" t="s">
        <v>174</v>
      </c>
      <c r="D192" t="s">
        <v>201</v>
      </c>
      <c r="E192">
        <v>7</v>
      </c>
      <c r="F192">
        <v>1</v>
      </c>
      <c r="G192">
        <v>1</v>
      </c>
      <c r="H192">
        <v>200</v>
      </c>
      <c r="J192" t="s">
        <v>1587</v>
      </c>
    </row>
    <row r="193" spans="3:10">
      <c r="C193" t="s">
        <v>201</v>
      </c>
      <c r="D193" t="s">
        <v>174</v>
      </c>
      <c r="E193">
        <v>7</v>
      </c>
      <c r="F193">
        <v>2</v>
      </c>
      <c r="G193">
        <v>1</v>
      </c>
      <c r="H193">
        <v>235</v>
      </c>
      <c r="J193" t="s">
        <v>1588</v>
      </c>
    </row>
    <row r="194" spans="3:10">
      <c r="C194" t="s">
        <v>201</v>
      </c>
      <c r="D194" t="s">
        <v>270</v>
      </c>
      <c r="E194">
        <v>7</v>
      </c>
      <c r="F194">
        <v>1</v>
      </c>
      <c r="G194">
        <v>1</v>
      </c>
      <c r="H194">
        <v>190</v>
      </c>
      <c r="J194" t="s">
        <v>1589</v>
      </c>
    </row>
    <row r="195" spans="3:10">
      <c r="C195" t="s">
        <v>270</v>
      </c>
      <c r="D195" t="s">
        <v>201</v>
      </c>
      <c r="E195">
        <v>7</v>
      </c>
      <c r="F195">
        <v>2</v>
      </c>
      <c r="G195">
        <v>1</v>
      </c>
      <c r="H195">
        <v>190</v>
      </c>
      <c r="J195" t="s">
        <v>1590</v>
      </c>
    </row>
    <row r="196" spans="3:10">
      <c r="C196" t="s">
        <v>270</v>
      </c>
      <c r="D196" t="s">
        <v>3760</v>
      </c>
      <c r="E196">
        <v>7</v>
      </c>
      <c r="F196">
        <v>1</v>
      </c>
      <c r="G196">
        <v>1</v>
      </c>
      <c r="H196">
        <v>160</v>
      </c>
      <c r="J196" t="s">
        <v>1591</v>
      </c>
    </row>
    <row r="197" spans="3:10">
      <c r="C197" t="s">
        <v>3760</v>
      </c>
      <c r="D197" t="s">
        <v>270</v>
      </c>
      <c r="E197">
        <v>7</v>
      </c>
      <c r="F197">
        <v>2</v>
      </c>
      <c r="G197">
        <v>1</v>
      </c>
      <c r="H197">
        <v>165</v>
      </c>
      <c r="J197" t="s">
        <v>1592</v>
      </c>
    </row>
    <row r="198" spans="3:10">
      <c r="C198" t="s">
        <v>3760</v>
      </c>
      <c r="D198" t="s">
        <v>170</v>
      </c>
      <c r="E198">
        <v>7</v>
      </c>
      <c r="F198">
        <v>1</v>
      </c>
      <c r="G198">
        <v>1</v>
      </c>
      <c r="H198">
        <v>185</v>
      </c>
      <c r="J198" t="s">
        <v>1593</v>
      </c>
    </row>
    <row r="199" spans="3:10">
      <c r="C199" t="s">
        <v>170</v>
      </c>
      <c r="D199" t="s">
        <v>3760</v>
      </c>
      <c r="E199">
        <v>7</v>
      </c>
      <c r="F199">
        <v>2</v>
      </c>
      <c r="G199">
        <v>1</v>
      </c>
      <c r="H199">
        <v>195</v>
      </c>
      <c r="J199" t="s">
        <v>1594</v>
      </c>
    </row>
    <row r="200" spans="3:10">
      <c r="C200" t="s">
        <v>170</v>
      </c>
      <c r="D200" t="s">
        <v>272</v>
      </c>
      <c r="E200">
        <v>7</v>
      </c>
      <c r="F200">
        <v>1</v>
      </c>
      <c r="G200">
        <v>1</v>
      </c>
      <c r="H200">
        <v>195</v>
      </c>
      <c r="J200" t="s">
        <v>1595</v>
      </c>
    </row>
    <row r="201" spans="3:10">
      <c r="C201" t="s">
        <v>272</v>
      </c>
      <c r="D201" t="s">
        <v>170</v>
      </c>
      <c r="E201">
        <v>7</v>
      </c>
      <c r="F201">
        <v>2</v>
      </c>
      <c r="G201">
        <v>1</v>
      </c>
      <c r="H201">
        <v>190</v>
      </c>
      <c r="J201" t="s">
        <v>1596</v>
      </c>
    </row>
    <row r="202" spans="3:10">
      <c r="C202" t="s">
        <v>272</v>
      </c>
      <c r="D202" t="s">
        <v>273</v>
      </c>
      <c r="E202">
        <v>7</v>
      </c>
      <c r="F202">
        <v>1</v>
      </c>
      <c r="G202">
        <v>1</v>
      </c>
      <c r="H202">
        <v>170</v>
      </c>
      <c r="J202" t="s">
        <v>1597</v>
      </c>
    </row>
    <row r="203" spans="3:10">
      <c r="C203" t="s">
        <v>273</v>
      </c>
      <c r="D203" t="s">
        <v>272</v>
      </c>
      <c r="E203">
        <v>7</v>
      </c>
      <c r="F203">
        <v>2</v>
      </c>
      <c r="G203">
        <v>1</v>
      </c>
      <c r="H203">
        <v>170</v>
      </c>
      <c r="J203" t="s">
        <v>1598</v>
      </c>
    </row>
    <row r="204" spans="3:10">
      <c r="C204" t="s">
        <v>273</v>
      </c>
      <c r="D204" t="s">
        <v>274</v>
      </c>
      <c r="E204">
        <v>7</v>
      </c>
      <c r="F204">
        <v>1</v>
      </c>
      <c r="G204">
        <v>1</v>
      </c>
      <c r="H204">
        <v>155</v>
      </c>
      <c r="J204" t="s">
        <v>1599</v>
      </c>
    </row>
    <row r="205" spans="3:10">
      <c r="C205" t="s">
        <v>274</v>
      </c>
      <c r="D205" t="s">
        <v>273</v>
      </c>
      <c r="E205">
        <v>7</v>
      </c>
      <c r="F205">
        <v>2</v>
      </c>
      <c r="G205">
        <v>1</v>
      </c>
      <c r="H205">
        <v>155</v>
      </c>
      <c r="J205" t="s">
        <v>1600</v>
      </c>
    </row>
    <row r="206" spans="3:10">
      <c r="C206" t="s">
        <v>274</v>
      </c>
      <c r="D206" t="s">
        <v>275</v>
      </c>
      <c r="E206">
        <v>7</v>
      </c>
      <c r="F206">
        <v>1</v>
      </c>
      <c r="G206">
        <v>1</v>
      </c>
      <c r="H206">
        <v>190</v>
      </c>
      <c r="J206" t="s">
        <v>1601</v>
      </c>
    </row>
    <row r="207" spans="3:10">
      <c r="C207" t="s">
        <v>275</v>
      </c>
      <c r="D207" t="s">
        <v>274</v>
      </c>
      <c r="E207">
        <v>7</v>
      </c>
      <c r="F207">
        <v>2</v>
      </c>
      <c r="G207">
        <v>1</v>
      </c>
      <c r="H207">
        <v>190</v>
      </c>
      <c r="J207" t="s">
        <v>1602</v>
      </c>
    </row>
    <row r="208" spans="3:10">
      <c r="C208" t="s">
        <v>275</v>
      </c>
      <c r="D208" t="s">
        <v>169</v>
      </c>
      <c r="E208">
        <v>7</v>
      </c>
      <c r="F208">
        <v>1</v>
      </c>
      <c r="G208">
        <v>1</v>
      </c>
      <c r="H208">
        <v>165</v>
      </c>
      <c r="J208" t="s">
        <v>1603</v>
      </c>
    </row>
    <row r="209" spans="3:10">
      <c r="C209" t="s">
        <v>169</v>
      </c>
      <c r="D209" t="s">
        <v>275</v>
      </c>
      <c r="E209">
        <v>7</v>
      </c>
      <c r="F209">
        <v>2</v>
      </c>
      <c r="G209">
        <v>1</v>
      </c>
      <c r="H209">
        <v>165</v>
      </c>
      <c r="J209" t="s">
        <v>1604</v>
      </c>
    </row>
    <row r="210" spans="3:10">
      <c r="C210" t="s">
        <v>169</v>
      </c>
      <c r="D210" t="s">
        <v>276</v>
      </c>
      <c r="E210">
        <v>7</v>
      </c>
      <c r="F210">
        <v>1</v>
      </c>
      <c r="G210">
        <v>1</v>
      </c>
      <c r="H210">
        <v>175</v>
      </c>
      <c r="J210" t="s">
        <v>1605</v>
      </c>
    </row>
    <row r="211" spans="3:10">
      <c r="C211" t="s">
        <v>276</v>
      </c>
      <c r="D211" t="s">
        <v>169</v>
      </c>
      <c r="E211">
        <v>7</v>
      </c>
      <c r="F211">
        <v>2</v>
      </c>
      <c r="G211">
        <v>1</v>
      </c>
      <c r="H211">
        <v>175</v>
      </c>
      <c r="J211" t="s">
        <v>1606</v>
      </c>
    </row>
    <row r="212" spans="3:10">
      <c r="C212" t="s">
        <v>276</v>
      </c>
      <c r="D212" t="s">
        <v>277</v>
      </c>
      <c r="E212">
        <v>7</v>
      </c>
      <c r="F212">
        <v>1</v>
      </c>
      <c r="G212">
        <v>1</v>
      </c>
      <c r="H212">
        <v>145</v>
      </c>
      <c r="J212" t="s">
        <v>1607</v>
      </c>
    </row>
    <row r="213" spans="3:10">
      <c r="C213" t="s">
        <v>277</v>
      </c>
      <c r="D213" t="s">
        <v>276</v>
      </c>
      <c r="E213">
        <v>7</v>
      </c>
      <c r="F213">
        <v>2</v>
      </c>
      <c r="G213">
        <v>1</v>
      </c>
      <c r="H213">
        <v>140</v>
      </c>
      <c r="J213" t="s">
        <v>1608</v>
      </c>
    </row>
    <row r="214" spans="3:10">
      <c r="C214" t="s">
        <v>277</v>
      </c>
      <c r="D214" t="s">
        <v>278</v>
      </c>
      <c r="E214">
        <v>7</v>
      </c>
      <c r="F214">
        <v>1</v>
      </c>
      <c r="G214">
        <v>1</v>
      </c>
      <c r="H214">
        <v>150</v>
      </c>
      <c r="J214" t="s">
        <v>1609</v>
      </c>
    </row>
    <row r="215" spans="3:10">
      <c r="C215" t="s">
        <v>278</v>
      </c>
      <c r="D215" t="s">
        <v>277</v>
      </c>
      <c r="E215">
        <v>7</v>
      </c>
      <c r="F215">
        <v>2</v>
      </c>
      <c r="G215">
        <v>1</v>
      </c>
      <c r="H215">
        <v>195</v>
      </c>
      <c r="J215" t="s">
        <v>1610</v>
      </c>
    </row>
    <row r="216" spans="3:10">
      <c r="C216" t="s">
        <v>278</v>
      </c>
      <c r="D216" t="s">
        <v>192</v>
      </c>
      <c r="E216">
        <v>7</v>
      </c>
      <c r="F216">
        <v>1</v>
      </c>
      <c r="G216">
        <v>1</v>
      </c>
      <c r="H216">
        <v>200</v>
      </c>
      <c r="J216" t="s">
        <v>1611</v>
      </c>
    </row>
    <row r="217" spans="3:10">
      <c r="C217" t="s">
        <v>192</v>
      </c>
      <c r="D217" t="s">
        <v>278</v>
      </c>
      <c r="E217">
        <v>7</v>
      </c>
      <c r="F217">
        <v>2</v>
      </c>
      <c r="G217">
        <v>1</v>
      </c>
      <c r="H217">
        <v>130</v>
      </c>
      <c r="J217" t="s">
        <v>1612</v>
      </c>
    </row>
    <row r="218" spans="3:10">
      <c r="C218" t="s">
        <v>175</v>
      </c>
      <c r="D218" t="s">
        <v>227</v>
      </c>
      <c r="E218">
        <v>8</v>
      </c>
      <c r="F218">
        <v>1</v>
      </c>
      <c r="G218">
        <v>1</v>
      </c>
      <c r="H218">
        <v>125</v>
      </c>
      <c r="J218" t="s">
        <v>1613</v>
      </c>
    </row>
    <row r="219" spans="3:10">
      <c r="C219" t="s">
        <v>227</v>
      </c>
      <c r="D219" t="s">
        <v>175</v>
      </c>
      <c r="E219">
        <v>8</v>
      </c>
      <c r="F219">
        <v>2</v>
      </c>
      <c r="G219">
        <v>1</v>
      </c>
      <c r="H219">
        <v>125</v>
      </c>
      <c r="J219" t="s">
        <v>1614</v>
      </c>
    </row>
    <row r="220" spans="3:10">
      <c r="C220" t="s">
        <v>227</v>
      </c>
      <c r="D220" t="s">
        <v>3761</v>
      </c>
      <c r="E220">
        <v>8</v>
      </c>
      <c r="F220">
        <v>1</v>
      </c>
      <c r="G220">
        <v>1</v>
      </c>
      <c r="H220">
        <v>145</v>
      </c>
      <c r="J220" t="s">
        <v>1615</v>
      </c>
    </row>
    <row r="221" spans="3:10">
      <c r="C221" t="s">
        <v>3761</v>
      </c>
      <c r="D221" t="s">
        <v>227</v>
      </c>
      <c r="E221">
        <v>8</v>
      </c>
      <c r="F221">
        <v>2</v>
      </c>
      <c r="G221">
        <v>1</v>
      </c>
      <c r="H221">
        <v>140</v>
      </c>
      <c r="J221" t="s">
        <v>1616</v>
      </c>
    </row>
    <row r="222" spans="3:10">
      <c r="C222" t="s">
        <v>3761</v>
      </c>
      <c r="D222" t="s">
        <v>208</v>
      </c>
      <c r="E222">
        <v>8</v>
      </c>
      <c r="F222">
        <v>1</v>
      </c>
      <c r="G222">
        <v>1</v>
      </c>
      <c r="H222">
        <v>125</v>
      </c>
      <c r="J222" t="s">
        <v>1617</v>
      </c>
    </row>
    <row r="223" spans="3:10">
      <c r="C223" t="s">
        <v>208</v>
      </c>
      <c r="D223" t="s">
        <v>3761</v>
      </c>
      <c r="E223">
        <v>8</v>
      </c>
      <c r="F223">
        <v>2</v>
      </c>
      <c r="G223">
        <v>1</v>
      </c>
      <c r="H223">
        <v>130</v>
      </c>
      <c r="J223" t="s">
        <v>1618</v>
      </c>
    </row>
    <row r="224" spans="3:10">
      <c r="C224" t="s">
        <v>208</v>
      </c>
      <c r="D224" t="s">
        <v>280</v>
      </c>
      <c r="E224">
        <v>8</v>
      </c>
      <c r="F224">
        <v>1</v>
      </c>
      <c r="G224">
        <v>1</v>
      </c>
      <c r="H224">
        <v>150</v>
      </c>
      <c r="J224" t="s">
        <v>1619</v>
      </c>
    </row>
    <row r="225" spans="3:10">
      <c r="C225" t="s">
        <v>280</v>
      </c>
      <c r="D225" t="s">
        <v>208</v>
      </c>
      <c r="E225">
        <v>8</v>
      </c>
      <c r="F225">
        <v>2</v>
      </c>
      <c r="G225">
        <v>1</v>
      </c>
      <c r="H225">
        <v>155</v>
      </c>
      <c r="J225" t="s">
        <v>1620</v>
      </c>
    </row>
    <row r="226" spans="3:10">
      <c r="C226" t="s">
        <v>280</v>
      </c>
      <c r="D226" t="s">
        <v>281</v>
      </c>
      <c r="E226">
        <v>8</v>
      </c>
      <c r="F226">
        <v>1</v>
      </c>
      <c r="G226">
        <v>1</v>
      </c>
      <c r="H226">
        <v>155</v>
      </c>
      <c r="J226" t="s">
        <v>1621</v>
      </c>
    </row>
    <row r="227" spans="3:10">
      <c r="C227" t="s">
        <v>281</v>
      </c>
      <c r="D227" t="s">
        <v>280</v>
      </c>
      <c r="E227">
        <v>8</v>
      </c>
      <c r="F227">
        <v>2</v>
      </c>
      <c r="G227">
        <v>1</v>
      </c>
      <c r="H227">
        <v>150</v>
      </c>
      <c r="J227" t="s">
        <v>1622</v>
      </c>
    </row>
    <row r="228" spans="3:10">
      <c r="C228" t="s">
        <v>281</v>
      </c>
      <c r="D228" t="s">
        <v>181</v>
      </c>
      <c r="E228">
        <v>8</v>
      </c>
      <c r="F228">
        <v>1</v>
      </c>
      <c r="G228">
        <v>1</v>
      </c>
      <c r="H228">
        <v>175</v>
      </c>
      <c r="J228" t="s">
        <v>1623</v>
      </c>
    </row>
    <row r="229" spans="3:10">
      <c r="C229" t="s">
        <v>181</v>
      </c>
      <c r="D229" t="s">
        <v>281</v>
      </c>
      <c r="E229">
        <v>8</v>
      </c>
      <c r="F229">
        <v>2</v>
      </c>
      <c r="G229">
        <v>1</v>
      </c>
      <c r="H229">
        <v>175</v>
      </c>
      <c r="J229" t="s">
        <v>1624</v>
      </c>
    </row>
    <row r="230" spans="3:10">
      <c r="C230" t="s">
        <v>181</v>
      </c>
      <c r="D230" t="s">
        <v>282</v>
      </c>
      <c r="E230">
        <v>8</v>
      </c>
      <c r="F230">
        <v>1</v>
      </c>
      <c r="G230">
        <v>1</v>
      </c>
      <c r="H230">
        <v>165</v>
      </c>
      <c r="J230" t="s">
        <v>1625</v>
      </c>
    </row>
    <row r="231" spans="3:10">
      <c r="C231" t="s">
        <v>282</v>
      </c>
      <c r="D231" t="s">
        <v>181</v>
      </c>
      <c r="E231">
        <v>8</v>
      </c>
      <c r="F231">
        <v>2</v>
      </c>
      <c r="G231">
        <v>1</v>
      </c>
      <c r="H231">
        <v>165</v>
      </c>
      <c r="J231" t="s">
        <v>1626</v>
      </c>
    </row>
    <row r="232" spans="3:10">
      <c r="C232" t="s">
        <v>282</v>
      </c>
      <c r="D232" t="s">
        <v>3743</v>
      </c>
      <c r="E232">
        <v>8</v>
      </c>
      <c r="F232">
        <v>1</v>
      </c>
      <c r="G232">
        <v>1</v>
      </c>
      <c r="H232">
        <v>145</v>
      </c>
      <c r="J232" t="s">
        <v>1627</v>
      </c>
    </row>
    <row r="233" spans="3:10">
      <c r="C233" t="s">
        <v>3743</v>
      </c>
      <c r="D233" t="s">
        <v>282</v>
      </c>
      <c r="E233">
        <v>8</v>
      </c>
      <c r="F233">
        <v>2</v>
      </c>
      <c r="G233">
        <v>1</v>
      </c>
      <c r="H233">
        <v>145</v>
      </c>
      <c r="J233" t="s">
        <v>1628</v>
      </c>
    </row>
    <row r="234" spans="3:10">
      <c r="C234" t="s">
        <v>3743</v>
      </c>
      <c r="D234" t="s">
        <v>283</v>
      </c>
      <c r="E234">
        <v>8</v>
      </c>
      <c r="F234">
        <v>1</v>
      </c>
      <c r="G234">
        <v>1</v>
      </c>
      <c r="H234">
        <v>175</v>
      </c>
      <c r="J234" t="s">
        <v>1629</v>
      </c>
    </row>
    <row r="235" spans="3:10">
      <c r="C235" t="s">
        <v>283</v>
      </c>
      <c r="D235" t="s">
        <v>3743</v>
      </c>
      <c r="E235">
        <v>8</v>
      </c>
      <c r="F235">
        <v>2</v>
      </c>
      <c r="G235">
        <v>1</v>
      </c>
      <c r="H235">
        <v>180</v>
      </c>
      <c r="J235" t="s">
        <v>1630</v>
      </c>
    </row>
    <row r="236" spans="3:10">
      <c r="C236" t="s">
        <v>283</v>
      </c>
      <c r="D236" t="s">
        <v>284</v>
      </c>
      <c r="E236">
        <v>8</v>
      </c>
      <c r="F236">
        <v>1</v>
      </c>
      <c r="G236">
        <v>1</v>
      </c>
      <c r="H236">
        <v>165</v>
      </c>
      <c r="J236" t="s">
        <v>1631</v>
      </c>
    </row>
    <row r="237" spans="3:10">
      <c r="C237" t="s">
        <v>284</v>
      </c>
      <c r="D237" t="s">
        <v>283</v>
      </c>
      <c r="E237">
        <v>8</v>
      </c>
      <c r="F237">
        <v>2</v>
      </c>
      <c r="G237">
        <v>1</v>
      </c>
      <c r="H237">
        <v>160</v>
      </c>
      <c r="J237" t="s">
        <v>1632</v>
      </c>
    </row>
    <row r="238" spans="3:10">
      <c r="C238" t="s">
        <v>284</v>
      </c>
      <c r="D238" t="s">
        <v>285</v>
      </c>
      <c r="E238">
        <v>8</v>
      </c>
      <c r="F238">
        <v>1</v>
      </c>
      <c r="G238">
        <v>1</v>
      </c>
      <c r="H238">
        <v>165</v>
      </c>
      <c r="J238" t="s">
        <v>1633</v>
      </c>
    </row>
    <row r="239" spans="3:10">
      <c r="C239" t="s">
        <v>285</v>
      </c>
      <c r="D239" t="s">
        <v>284</v>
      </c>
      <c r="E239">
        <v>8</v>
      </c>
      <c r="F239">
        <v>2</v>
      </c>
      <c r="G239">
        <v>1</v>
      </c>
      <c r="H239">
        <v>165</v>
      </c>
      <c r="J239" t="s">
        <v>1634</v>
      </c>
    </row>
    <row r="240" spans="3:10">
      <c r="C240" t="s">
        <v>285</v>
      </c>
      <c r="D240" t="s">
        <v>286</v>
      </c>
      <c r="E240">
        <v>8</v>
      </c>
      <c r="F240">
        <v>1</v>
      </c>
      <c r="G240">
        <v>1</v>
      </c>
      <c r="H240">
        <v>140</v>
      </c>
      <c r="J240" t="s">
        <v>1635</v>
      </c>
    </row>
    <row r="241" spans="3:10">
      <c r="C241" t="s">
        <v>286</v>
      </c>
      <c r="D241" t="s">
        <v>285</v>
      </c>
      <c r="E241">
        <v>8</v>
      </c>
      <c r="F241">
        <v>2</v>
      </c>
      <c r="G241">
        <v>1</v>
      </c>
      <c r="H241">
        <v>140</v>
      </c>
      <c r="J241" t="s">
        <v>1636</v>
      </c>
    </row>
    <row r="242" spans="3:10">
      <c r="C242" t="s">
        <v>286</v>
      </c>
      <c r="D242" t="s">
        <v>3762</v>
      </c>
      <c r="E242">
        <v>8</v>
      </c>
      <c r="F242">
        <v>1</v>
      </c>
      <c r="G242">
        <v>1</v>
      </c>
      <c r="H242">
        <v>150</v>
      </c>
      <c r="J242" t="s">
        <v>1637</v>
      </c>
    </row>
    <row r="243" spans="3:10">
      <c r="C243" t="s">
        <v>3762</v>
      </c>
      <c r="D243" t="s">
        <v>286</v>
      </c>
      <c r="E243">
        <v>8</v>
      </c>
      <c r="F243">
        <v>2</v>
      </c>
      <c r="G243">
        <v>1</v>
      </c>
      <c r="H243">
        <v>150</v>
      </c>
      <c r="J243" t="s">
        <v>1638</v>
      </c>
    </row>
    <row r="244" spans="3:10">
      <c r="C244" t="s">
        <v>3762</v>
      </c>
      <c r="D244" t="s">
        <v>288</v>
      </c>
      <c r="E244">
        <v>8</v>
      </c>
      <c r="F244">
        <v>1</v>
      </c>
      <c r="G244">
        <v>1</v>
      </c>
      <c r="H244">
        <v>200</v>
      </c>
      <c r="J244" t="s">
        <v>1639</v>
      </c>
    </row>
    <row r="245" spans="3:10">
      <c r="C245" t="s">
        <v>288</v>
      </c>
      <c r="D245" t="s">
        <v>3762</v>
      </c>
      <c r="E245">
        <v>8</v>
      </c>
      <c r="F245">
        <v>2</v>
      </c>
      <c r="G245">
        <v>1</v>
      </c>
      <c r="H245">
        <v>200</v>
      </c>
      <c r="J245" t="s">
        <v>1640</v>
      </c>
    </row>
    <row r="246" spans="3:10">
      <c r="C246" t="s">
        <v>288</v>
      </c>
      <c r="D246" t="s">
        <v>289</v>
      </c>
      <c r="E246">
        <v>8</v>
      </c>
      <c r="F246">
        <v>1</v>
      </c>
      <c r="G246">
        <v>1</v>
      </c>
      <c r="H246">
        <v>150</v>
      </c>
      <c r="J246" t="s">
        <v>1641</v>
      </c>
    </row>
    <row r="247" spans="3:10">
      <c r="C247" t="s">
        <v>289</v>
      </c>
      <c r="D247" t="s">
        <v>288</v>
      </c>
      <c r="E247">
        <v>8</v>
      </c>
      <c r="F247">
        <v>2</v>
      </c>
      <c r="G247">
        <v>1</v>
      </c>
      <c r="H247">
        <v>150</v>
      </c>
      <c r="J247" t="s">
        <v>1642</v>
      </c>
    </row>
    <row r="248" spans="3:10">
      <c r="C248" t="s">
        <v>289</v>
      </c>
      <c r="D248" t="s">
        <v>290</v>
      </c>
      <c r="E248">
        <v>8</v>
      </c>
      <c r="F248">
        <v>1</v>
      </c>
      <c r="G248">
        <v>1</v>
      </c>
      <c r="H248">
        <v>150</v>
      </c>
      <c r="J248" t="s">
        <v>1643</v>
      </c>
    </row>
    <row r="249" spans="3:10">
      <c r="C249" t="s">
        <v>290</v>
      </c>
      <c r="D249" t="s">
        <v>289</v>
      </c>
      <c r="E249">
        <v>8</v>
      </c>
      <c r="F249">
        <v>2</v>
      </c>
      <c r="G249">
        <v>1</v>
      </c>
      <c r="H249">
        <v>150</v>
      </c>
      <c r="J249" t="s">
        <v>1644</v>
      </c>
    </row>
    <row r="250" spans="3:10">
      <c r="C250" t="s">
        <v>290</v>
      </c>
      <c r="D250" t="s">
        <v>291</v>
      </c>
      <c r="E250">
        <v>8</v>
      </c>
      <c r="F250">
        <v>1</v>
      </c>
      <c r="G250">
        <v>1</v>
      </c>
      <c r="H250">
        <v>165</v>
      </c>
      <c r="J250" t="s">
        <v>1645</v>
      </c>
    </row>
    <row r="251" spans="3:10">
      <c r="C251" t="s">
        <v>291</v>
      </c>
      <c r="D251" t="s">
        <v>290</v>
      </c>
      <c r="E251">
        <v>8</v>
      </c>
      <c r="F251">
        <v>2</v>
      </c>
      <c r="G251">
        <v>1</v>
      </c>
      <c r="H251">
        <v>165</v>
      </c>
      <c r="J251" t="s">
        <v>1646</v>
      </c>
    </row>
    <row r="252" spans="3:10">
      <c r="C252" t="s">
        <v>291</v>
      </c>
      <c r="D252" t="s">
        <v>193</v>
      </c>
      <c r="E252">
        <v>8</v>
      </c>
      <c r="F252">
        <v>1</v>
      </c>
      <c r="G252">
        <v>1</v>
      </c>
      <c r="H252">
        <v>175</v>
      </c>
      <c r="J252" t="s">
        <v>1647</v>
      </c>
    </row>
    <row r="253" spans="3:10">
      <c r="C253" t="s">
        <v>193</v>
      </c>
      <c r="D253" t="s">
        <v>291</v>
      </c>
      <c r="E253">
        <v>8</v>
      </c>
      <c r="F253">
        <v>2</v>
      </c>
      <c r="G253">
        <v>1</v>
      </c>
      <c r="H253">
        <v>175</v>
      </c>
      <c r="J253" t="s">
        <v>1648</v>
      </c>
    </row>
    <row r="254" spans="3:10">
      <c r="C254" t="s">
        <v>169</v>
      </c>
      <c r="D254" t="s">
        <v>292</v>
      </c>
      <c r="E254">
        <v>9</v>
      </c>
      <c r="F254">
        <v>1</v>
      </c>
      <c r="G254">
        <v>1</v>
      </c>
      <c r="H254">
        <v>165</v>
      </c>
      <c r="J254" t="s">
        <v>1649</v>
      </c>
    </row>
    <row r="255" spans="3:10">
      <c r="C255" t="s">
        <v>292</v>
      </c>
      <c r="D255" t="s">
        <v>169</v>
      </c>
      <c r="E255">
        <v>9</v>
      </c>
      <c r="F255">
        <v>2</v>
      </c>
      <c r="G255">
        <v>1</v>
      </c>
      <c r="H255">
        <v>195</v>
      </c>
      <c r="J255" t="s">
        <v>1650</v>
      </c>
    </row>
    <row r="256" spans="3:10">
      <c r="C256" t="s">
        <v>292</v>
      </c>
      <c r="D256" t="s">
        <v>293</v>
      </c>
      <c r="E256">
        <v>9</v>
      </c>
      <c r="F256">
        <v>1</v>
      </c>
      <c r="G256">
        <v>1</v>
      </c>
      <c r="H256">
        <v>165</v>
      </c>
      <c r="J256" t="s">
        <v>1651</v>
      </c>
    </row>
    <row r="257" spans="3:10">
      <c r="C257" t="s">
        <v>293</v>
      </c>
      <c r="D257" t="s">
        <v>292</v>
      </c>
      <c r="E257">
        <v>9</v>
      </c>
      <c r="F257">
        <v>2</v>
      </c>
      <c r="G257">
        <v>1</v>
      </c>
      <c r="H257">
        <v>165</v>
      </c>
      <c r="J257" t="s">
        <v>1652</v>
      </c>
    </row>
    <row r="258" spans="3:10">
      <c r="C258" t="s">
        <v>293</v>
      </c>
      <c r="D258" t="s">
        <v>180</v>
      </c>
      <c r="E258">
        <v>9</v>
      </c>
      <c r="F258">
        <v>1</v>
      </c>
      <c r="G258">
        <v>1</v>
      </c>
      <c r="H258">
        <v>185</v>
      </c>
      <c r="J258" t="s">
        <v>1653</v>
      </c>
    </row>
    <row r="259" spans="3:10">
      <c r="C259" t="s">
        <v>180</v>
      </c>
      <c r="D259" t="s">
        <v>293</v>
      </c>
      <c r="E259">
        <v>9</v>
      </c>
      <c r="F259">
        <v>2</v>
      </c>
      <c r="G259">
        <v>1</v>
      </c>
      <c r="H259">
        <v>185</v>
      </c>
      <c r="J259" t="s">
        <v>1654</v>
      </c>
    </row>
    <row r="260" spans="3:10">
      <c r="C260" t="s">
        <v>180</v>
      </c>
      <c r="D260" t="s">
        <v>3763</v>
      </c>
      <c r="E260">
        <v>9</v>
      </c>
      <c r="F260">
        <v>1</v>
      </c>
      <c r="G260">
        <v>1</v>
      </c>
      <c r="H260">
        <v>185</v>
      </c>
      <c r="J260" t="s">
        <v>1655</v>
      </c>
    </row>
    <row r="261" spans="3:10">
      <c r="C261" t="s">
        <v>3763</v>
      </c>
      <c r="D261" t="s">
        <v>180</v>
      </c>
      <c r="E261">
        <v>9</v>
      </c>
      <c r="F261">
        <v>2</v>
      </c>
      <c r="G261">
        <v>1</v>
      </c>
      <c r="H261">
        <v>180</v>
      </c>
      <c r="J261" t="s">
        <v>1656</v>
      </c>
    </row>
    <row r="262" spans="3:10">
      <c r="C262" t="s">
        <v>3763</v>
      </c>
      <c r="D262" t="s">
        <v>181</v>
      </c>
      <c r="E262">
        <v>9</v>
      </c>
      <c r="F262">
        <v>1</v>
      </c>
      <c r="G262">
        <v>1</v>
      </c>
      <c r="H262">
        <v>170</v>
      </c>
      <c r="J262" t="s">
        <v>1657</v>
      </c>
    </row>
    <row r="263" spans="3:10">
      <c r="C263" t="s">
        <v>181</v>
      </c>
      <c r="D263" t="s">
        <v>3763</v>
      </c>
      <c r="E263">
        <v>9</v>
      </c>
      <c r="F263">
        <v>2</v>
      </c>
      <c r="G263">
        <v>1</v>
      </c>
      <c r="H263">
        <v>180</v>
      </c>
      <c r="J263" t="s">
        <v>1658</v>
      </c>
    </row>
    <row r="264" spans="3:10">
      <c r="C264" t="s">
        <v>181</v>
      </c>
      <c r="D264" t="s">
        <v>256</v>
      </c>
      <c r="E264">
        <v>9</v>
      </c>
      <c r="F264">
        <v>1</v>
      </c>
      <c r="G264">
        <v>1</v>
      </c>
      <c r="H264">
        <v>195</v>
      </c>
      <c r="J264" t="s">
        <v>1659</v>
      </c>
    </row>
    <row r="265" spans="3:10">
      <c r="C265" t="s">
        <v>256</v>
      </c>
      <c r="D265" t="s">
        <v>181</v>
      </c>
      <c r="E265">
        <v>9</v>
      </c>
      <c r="F265">
        <v>2</v>
      </c>
      <c r="G265">
        <v>1</v>
      </c>
      <c r="H265">
        <v>180</v>
      </c>
      <c r="J265" t="s">
        <v>1660</v>
      </c>
    </row>
    <row r="266" spans="3:10">
      <c r="C266" t="s">
        <v>256</v>
      </c>
      <c r="D266" t="s">
        <v>295</v>
      </c>
      <c r="E266">
        <v>9</v>
      </c>
      <c r="F266">
        <v>1</v>
      </c>
      <c r="G266">
        <v>1</v>
      </c>
      <c r="H266">
        <v>170</v>
      </c>
      <c r="J266" t="s">
        <v>1661</v>
      </c>
    </row>
    <row r="267" spans="3:10">
      <c r="C267" t="s">
        <v>295</v>
      </c>
      <c r="D267" t="s">
        <v>256</v>
      </c>
      <c r="E267">
        <v>9</v>
      </c>
      <c r="F267">
        <v>2</v>
      </c>
      <c r="G267">
        <v>1</v>
      </c>
      <c r="H267">
        <v>165</v>
      </c>
      <c r="J267" t="s">
        <v>1662</v>
      </c>
    </row>
    <row r="268" spans="3:10">
      <c r="C268" t="s">
        <v>295</v>
      </c>
      <c r="D268" t="s">
        <v>3764</v>
      </c>
      <c r="E268">
        <v>9</v>
      </c>
      <c r="F268">
        <v>1</v>
      </c>
      <c r="G268">
        <v>1</v>
      </c>
      <c r="H268">
        <v>160</v>
      </c>
      <c r="J268" t="s">
        <v>1663</v>
      </c>
    </row>
    <row r="269" spans="3:10">
      <c r="C269" t="s">
        <v>3764</v>
      </c>
      <c r="D269" t="s">
        <v>295</v>
      </c>
      <c r="E269">
        <v>9</v>
      </c>
      <c r="F269">
        <v>2</v>
      </c>
      <c r="G269">
        <v>1</v>
      </c>
      <c r="H269">
        <v>155</v>
      </c>
      <c r="J269" t="s">
        <v>1664</v>
      </c>
    </row>
    <row r="270" spans="3:10">
      <c r="C270" t="s">
        <v>3764</v>
      </c>
      <c r="D270" t="s">
        <v>297</v>
      </c>
      <c r="E270">
        <v>9</v>
      </c>
      <c r="F270">
        <v>1</v>
      </c>
      <c r="G270">
        <v>1</v>
      </c>
      <c r="H270">
        <v>180</v>
      </c>
      <c r="J270" t="s">
        <v>1665</v>
      </c>
    </row>
    <row r="271" spans="3:10">
      <c r="C271" t="s">
        <v>297</v>
      </c>
      <c r="D271" t="s">
        <v>3764</v>
      </c>
      <c r="E271">
        <v>9</v>
      </c>
      <c r="F271">
        <v>2</v>
      </c>
      <c r="G271">
        <v>1</v>
      </c>
      <c r="H271">
        <v>180</v>
      </c>
      <c r="J271" t="s">
        <v>1666</v>
      </c>
    </row>
    <row r="272" spans="3:10">
      <c r="C272" t="s">
        <v>297</v>
      </c>
      <c r="D272" t="s">
        <v>298</v>
      </c>
      <c r="E272">
        <v>9</v>
      </c>
      <c r="F272">
        <v>1</v>
      </c>
      <c r="G272">
        <v>1</v>
      </c>
      <c r="H272">
        <v>155</v>
      </c>
      <c r="J272" t="s">
        <v>1667</v>
      </c>
    </row>
    <row r="273" spans="3:10">
      <c r="C273" t="s">
        <v>298</v>
      </c>
      <c r="D273" t="s">
        <v>297</v>
      </c>
      <c r="E273">
        <v>9</v>
      </c>
      <c r="F273">
        <v>2</v>
      </c>
      <c r="G273">
        <v>1</v>
      </c>
      <c r="H273">
        <v>160</v>
      </c>
      <c r="J273" t="s">
        <v>1668</v>
      </c>
    </row>
    <row r="274" spans="3:10">
      <c r="C274" t="s">
        <v>298</v>
      </c>
      <c r="D274" t="s">
        <v>3742</v>
      </c>
      <c r="E274">
        <v>9</v>
      </c>
      <c r="F274">
        <v>1</v>
      </c>
      <c r="G274">
        <v>1</v>
      </c>
      <c r="H274">
        <v>220</v>
      </c>
      <c r="J274" t="s">
        <v>1669</v>
      </c>
    </row>
    <row r="275" spans="3:10">
      <c r="C275" t="s">
        <v>3742</v>
      </c>
      <c r="D275" t="s">
        <v>298</v>
      </c>
      <c r="E275">
        <v>9</v>
      </c>
      <c r="F275">
        <v>2</v>
      </c>
      <c r="G275">
        <v>1</v>
      </c>
      <c r="H275">
        <v>190</v>
      </c>
      <c r="J275" t="s">
        <v>1670</v>
      </c>
    </row>
    <row r="276" spans="3:10">
      <c r="C276" t="s">
        <v>3742</v>
      </c>
      <c r="D276" t="s">
        <v>3765</v>
      </c>
      <c r="E276">
        <v>10</v>
      </c>
      <c r="F276">
        <v>1</v>
      </c>
      <c r="G276">
        <v>1</v>
      </c>
      <c r="H276">
        <v>180</v>
      </c>
      <c r="J276" t="s">
        <v>1671</v>
      </c>
    </row>
    <row r="277" spans="3:10">
      <c r="C277" t="s">
        <v>3765</v>
      </c>
      <c r="D277" t="s">
        <v>3742</v>
      </c>
      <c r="E277">
        <v>10</v>
      </c>
      <c r="F277">
        <v>2</v>
      </c>
      <c r="G277">
        <v>1</v>
      </c>
      <c r="H277">
        <v>205</v>
      </c>
      <c r="J277" t="s">
        <v>1672</v>
      </c>
    </row>
    <row r="278" spans="3:10">
      <c r="C278" t="s">
        <v>3765</v>
      </c>
      <c r="D278" t="s">
        <v>3766</v>
      </c>
      <c r="E278">
        <v>10</v>
      </c>
      <c r="F278">
        <v>1</v>
      </c>
      <c r="G278">
        <v>1</v>
      </c>
      <c r="H278">
        <v>175</v>
      </c>
      <c r="J278" t="s">
        <v>1673</v>
      </c>
    </row>
    <row r="279" spans="3:10">
      <c r="C279" t="s">
        <v>3766</v>
      </c>
      <c r="D279" t="s">
        <v>3765</v>
      </c>
      <c r="E279">
        <v>10</v>
      </c>
      <c r="F279">
        <v>2</v>
      </c>
      <c r="G279">
        <v>1</v>
      </c>
      <c r="H279">
        <v>180</v>
      </c>
      <c r="J279" t="s">
        <v>1674</v>
      </c>
    </row>
    <row r="280" spans="3:10">
      <c r="C280" t="s">
        <v>3766</v>
      </c>
      <c r="D280" t="s">
        <v>301</v>
      </c>
      <c r="E280">
        <v>10</v>
      </c>
      <c r="F280">
        <v>1</v>
      </c>
      <c r="G280">
        <v>1</v>
      </c>
      <c r="H280">
        <v>200</v>
      </c>
      <c r="J280" t="s">
        <v>1675</v>
      </c>
    </row>
    <row r="281" spans="3:10">
      <c r="C281" t="s">
        <v>301</v>
      </c>
      <c r="D281" t="s">
        <v>3766</v>
      </c>
      <c r="E281">
        <v>10</v>
      </c>
      <c r="F281">
        <v>2</v>
      </c>
      <c r="G281">
        <v>1</v>
      </c>
      <c r="H281">
        <v>205</v>
      </c>
      <c r="J281" t="s">
        <v>1676</v>
      </c>
    </row>
    <row r="282" spans="3:10">
      <c r="C282" t="s">
        <v>301</v>
      </c>
      <c r="D282" t="s">
        <v>302</v>
      </c>
      <c r="E282">
        <v>10</v>
      </c>
      <c r="F282">
        <v>1</v>
      </c>
      <c r="G282">
        <v>1</v>
      </c>
      <c r="H282">
        <v>190</v>
      </c>
      <c r="J282" t="s">
        <v>1677</v>
      </c>
    </row>
    <row r="283" spans="3:10">
      <c r="C283" t="s">
        <v>302</v>
      </c>
      <c r="D283" t="s">
        <v>301</v>
      </c>
      <c r="E283">
        <v>10</v>
      </c>
      <c r="F283">
        <v>2</v>
      </c>
      <c r="G283">
        <v>1</v>
      </c>
      <c r="H283">
        <v>185</v>
      </c>
      <c r="J283" t="s">
        <v>1678</v>
      </c>
    </row>
    <row r="284" spans="3:10">
      <c r="C284" t="s">
        <v>302</v>
      </c>
      <c r="D284" t="s">
        <v>3767</v>
      </c>
      <c r="E284">
        <v>10</v>
      </c>
      <c r="F284">
        <v>1</v>
      </c>
      <c r="G284">
        <v>1</v>
      </c>
      <c r="H284">
        <v>230</v>
      </c>
      <c r="J284" t="s">
        <v>1679</v>
      </c>
    </row>
    <row r="285" spans="3:10">
      <c r="C285" t="s">
        <v>3767</v>
      </c>
      <c r="D285" t="s">
        <v>302</v>
      </c>
      <c r="E285">
        <v>10</v>
      </c>
      <c r="F285">
        <v>2</v>
      </c>
      <c r="G285">
        <v>1</v>
      </c>
      <c r="H285">
        <v>240</v>
      </c>
      <c r="J285" t="s">
        <v>1680</v>
      </c>
    </row>
    <row r="286" spans="3:10">
      <c r="C286" t="s">
        <v>3767</v>
      </c>
      <c r="D286" t="s">
        <v>304</v>
      </c>
      <c r="E286">
        <v>10</v>
      </c>
      <c r="F286">
        <v>1</v>
      </c>
      <c r="G286">
        <v>1</v>
      </c>
      <c r="H286">
        <v>200</v>
      </c>
      <c r="J286" t="s">
        <v>1681</v>
      </c>
    </row>
    <row r="287" spans="3:10">
      <c r="C287" t="s">
        <v>304</v>
      </c>
      <c r="D287" t="s">
        <v>3767</v>
      </c>
      <c r="E287">
        <v>10</v>
      </c>
      <c r="F287">
        <v>2</v>
      </c>
      <c r="G287">
        <v>1</v>
      </c>
      <c r="H287">
        <v>195</v>
      </c>
      <c r="J287" t="s">
        <v>1682</v>
      </c>
    </row>
    <row r="288" spans="3:10">
      <c r="C288" t="s">
        <v>304</v>
      </c>
      <c r="D288" t="s">
        <v>305</v>
      </c>
      <c r="E288">
        <v>10</v>
      </c>
      <c r="F288">
        <v>1</v>
      </c>
      <c r="G288">
        <v>1</v>
      </c>
      <c r="H288">
        <v>180</v>
      </c>
      <c r="J288" t="s">
        <v>1683</v>
      </c>
    </row>
    <row r="289" spans="3:10">
      <c r="C289" t="s">
        <v>305</v>
      </c>
      <c r="D289" t="s">
        <v>304</v>
      </c>
      <c r="E289">
        <v>10</v>
      </c>
      <c r="F289">
        <v>2</v>
      </c>
      <c r="G289">
        <v>1</v>
      </c>
      <c r="H289">
        <v>180</v>
      </c>
      <c r="J289" t="s">
        <v>1684</v>
      </c>
    </row>
    <row r="290" spans="3:10">
      <c r="C290" t="s">
        <v>305</v>
      </c>
      <c r="D290" t="s">
        <v>306</v>
      </c>
      <c r="E290">
        <v>10</v>
      </c>
      <c r="F290">
        <v>1</v>
      </c>
      <c r="G290">
        <v>1</v>
      </c>
      <c r="H290">
        <v>215</v>
      </c>
      <c r="J290" t="s">
        <v>1685</v>
      </c>
    </row>
    <row r="291" spans="3:10">
      <c r="C291" t="s">
        <v>306</v>
      </c>
      <c r="D291" t="s">
        <v>305</v>
      </c>
      <c r="E291">
        <v>10</v>
      </c>
      <c r="F291">
        <v>2</v>
      </c>
      <c r="G291">
        <v>1</v>
      </c>
      <c r="H291">
        <v>190</v>
      </c>
      <c r="J291" t="s">
        <v>1686</v>
      </c>
    </row>
    <row r="292" spans="3:10">
      <c r="C292" t="s">
        <v>306</v>
      </c>
      <c r="D292" t="s">
        <v>182</v>
      </c>
      <c r="E292">
        <v>10</v>
      </c>
      <c r="F292">
        <v>1</v>
      </c>
      <c r="G292">
        <v>1</v>
      </c>
      <c r="H292">
        <v>230</v>
      </c>
      <c r="J292" t="s">
        <v>1687</v>
      </c>
    </row>
    <row r="293" spans="3:10">
      <c r="C293" t="s">
        <v>182</v>
      </c>
      <c r="D293" t="s">
        <v>306</v>
      </c>
      <c r="E293">
        <v>10</v>
      </c>
      <c r="F293">
        <v>2</v>
      </c>
      <c r="G293">
        <v>1</v>
      </c>
      <c r="H293">
        <v>220</v>
      </c>
      <c r="J293" t="s">
        <v>1688</v>
      </c>
    </row>
    <row r="294" spans="3:10">
      <c r="C294" t="s">
        <v>194</v>
      </c>
      <c r="D294" t="s">
        <v>177</v>
      </c>
      <c r="E294">
        <v>11</v>
      </c>
      <c r="F294">
        <v>1</v>
      </c>
      <c r="G294">
        <v>1</v>
      </c>
      <c r="H294">
        <v>120</v>
      </c>
      <c r="J294" t="s">
        <v>1251</v>
      </c>
    </row>
    <row r="295" spans="3:10">
      <c r="C295" t="s">
        <v>177</v>
      </c>
      <c r="D295" t="s">
        <v>194</v>
      </c>
      <c r="E295">
        <v>11</v>
      </c>
      <c r="F295">
        <v>2</v>
      </c>
      <c r="G295">
        <v>1</v>
      </c>
      <c r="H295">
        <v>150</v>
      </c>
      <c r="J295" t="s">
        <v>1689</v>
      </c>
    </row>
    <row r="296" spans="3:10">
      <c r="C296" t="s">
        <v>177</v>
      </c>
      <c r="D296" t="s">
        <v>175</v>
      </c>
      <c r="E296">
        <v>11</v>
      </c>
      <c r="F296">
        <v>1</v>
      </c>
      <c r="G296">
        <v>1</v>
      </c>
      <c r="H296">
        <v>160</v>
      </c>
      <c r="J296" t="s">
        <v>1690</v>
      </c>
    </row>
    <row r="297" spans="3:10">
      <c r="C297" t="s">
        <v>175</v>
      </c>
      <c r="D297" t="s">
        <v>177</v>
      </c>
      <c r="E297">
        <v>11</v>
      </c>
      <c r="F297">
        <v>2</v>
      </c>
      <c r="G297">
        <v>1</v>
      </c>
      <c r="H297">
        <v>160</v>
      </c>
      <c r="J297" t="s">
        <v>1691</v>
      </c>
    </row>
    <row r="298" spans="3:10">
      <c r="C298" t="s">
        <v>175</v>
      </c>
      <c r="D298" t="s">
        <v>307</v>
      </c>
      <c r="E298">
        <v>11</v>
      </c>
      <c r="F298">
        <v>1</v>
      </c>
      <c r="G298">
        <v>1</v>
      </c>
      <c r="H298">
        <v>145</v>
      </c>
      <c r="J298" t="s">
        <v>1692</v>
      </c>
    </row>
    <row r="299" spans="3:10">
      <c r="C299" t="s">
        <v>307</v>
      </c>
      <c r="D299" t="s">
        <v>175</v>
      </c>
      <c r="E299">
        <v>11</v>
      </c>
      <c r="F299">
        <v>2</v>
      </c>
      <c r="G299">
        <v>1</v>
      </c>
      <c r="H299">
        <v>130</v>
      </c>
      <c r="J299" t="s">
        <v>1693</v>
      </c>
    </row>
    <row r="300" spans="3:10">
      <c r="C300" t="s">
        <v>307</v>
      </c>
      <c r="D300" t="s">
        <v>308</v>
      </c>
      <c r="E300">
        <v>11</v>
      </c>
      <c r="F300">
        <v>1</v>
      </c>
      <c r="G300">
        <v>1</v>
      </c>
      <c r="H300">
        <v>135</v>
      </c>
      <c r="J300" t="s">
        <v>1694</v>
      </c>
    </row>
    <row r="301" spans="3:10">
      <c r="C301" t="s">
        <v>308</v>
      </c>
      <c r="D301" t="s">
        <v>307</v>
      </c>
      <c r="E301">
        <v>11</v>
      </c>
      <c r="F301">
        <v>2</v>
      </c>
      <c r="G301">
        <v>1</v>
      </c>
      <c r="H301">
        <v>140</v>
      </c>
      <c r="J301" t="s">
        <v>1695</v>
      </c>
    </row>
    <row r="302" spans="3:10">
      <c r="C302" t="s">
        <v>308</v>
      </c>
      <c r="D302" t="s">
        <v>254</v>
      </c>
      <c r="E302">
        <v>11</v>
      </c>
      <c r="F302">
        <v>1</v>
      </c>
      <c r="G302">
        <v>1</v>
      </c>
      <c r="H302">
        <v>135</v>
      </c>
      <c r="J302" t="s">
        <v>1696</v>
      </c>
    </row>
    <row r="303" spans="3:10">
      <c r="C303" t="s">
        <v>254</v>
      </c>
      <c r="D303" t="s">
        <v>308</v>
      </c>
      <c r="E303">
        <v>11</v>
      </c>
      <c r="F303">
        <v>2</v>
      </c>
      <c r="G303">
        <v>1</v>
      </c>
      <c r="H303">
        <v>145</v>
      </c>
      <c r="J303" t="s">
        <v>1697</v>
      </c>
    </row>
    <row r="304" spans="3:10">
      <c r="C304" t="s">
        <v>254</v>
      </c>
      <c r="D304" t="s">
        <v>3747</v>
      </c>
      <c r="E304">
        <v>11</v>
      </c>
      <c r="F304">
        <v>1</v>
      </c>
      <c r="G304">
        <v>1</v>
      </c>
      <c r="H304">
        <v>205</v>
      </c>
      <c r="J304" t="s">
        <v>1698</v>
      </c>
    </row>
    <row r="305" spans="3:10">
      <c r="C305" t="s">
        <v>3747</v>
      </c>
      <c r="D305" t="s">
        <v>254</v>
      </c>
      <c r="E305">
        <v>11</v>
      </c>
      <c r="F305">
        <v>2</v>
      </c>
      <c r="G305">
        <v>1</v>
      </c>
      <c r="H305">
        <v>200</v>
      </c>
      <c r="J305" t="s">
        <v>1699</v>
      </c>
    </row>
    <row r="306" spans="3:10">
      <c r="C306" t="s">
        <v>3747</v>
      </c>
      <c r="D306" t="s">
        <v>3768</v>
      </c>
      <c r="E306">
        <v>11</v>
      </c>
      <c r="F306">
        <v>1</v>
      </c>
      <c r="G306">
        <v>1</v>
      </c>
      <c r="H306">
        <v>165</v>
      </c>
      <c r="J306" t="s">
        <v>1700</v>
      </c>
    </row>
    <row r="307" spans="3:10">
      <c r="C307" t="s">
        <v>3768</v>
      </c>
      <c r="D307" t="s">
        <v>3747</v>
      </c>
      <c r="E307">
        <v>11</v>
      </c>
      <c r="F307">
        <v>2</v>
      </c>
      <c r="G307">
        <v>1</v>
      </c>
      <c r="H307">
        <v>155</v>
      </c>
      <c r="J307" t="s">
        <v>1701</v>
      </c>
    </row>
    <row r="308" spans="3:10">
      <c r="C308" t="s">
        <v>3768</v>
      </c>
      <c r="D308" t="s">
        <v>310</v>
      </c>
      <c r="E308">
        <v>11</v>
      </c>
      <c r="F308">
        <v>1</v>
      </c>
      <c r="G308">
        <v>1</v>
      </c>
      <c r="H308">
        <v>155</v>
      </c>
      <c r="J308" t="s">
        <v>1702</v>
      </c>
    </row>
    <row r="309" spans="3:10">
      <c r="C309" t="s">
        <v>310</v>
      </c>
      <c r="D309" t="s">
        <v>3768</v>
      </c>
      <c r="E309">
        <v>11</v>
      </c>
      <c r="F309">
        <v>2</v>
      </c>
      <c r="G309">
        <v>1</v>
      </c>
      <c r="H309">
        <v>160</v>
      </c>
      <c r="J309" t="s">
        <v>1703</v>
      </c>
    </row>
    <row r="310" spans="3:10">
      <c r="C310" t="s">
        <v>310</v>
      </c>
      <c r="D310" t="s">
        <v>3757</v>
      </c>
      <c r="E310">
        <v>11</v>
      </c>
      <c r="F310">
        <v>1</v>
      </c>
      <c r="G310">
        <v>1</v>
      </c>
      <c r="H310">
        <v>150</v>
      </c>
      <c r="J310" t="s">
        <v>1704</v>
      </c>
    </row>
    <row r="311" spans="3:10">
      <c r="C311" t="s">
        <v>3757</v>
      </c>
      <c r="D311" t="s">
        <v>310</v>
      </c>
      <c r="E311">
        <v>11</v>
      </c>
      <c r="F311">
        <v>2</v>
      </c>
      <c r="G311">
        <v>1</v>
      </c>
      <c r="H311">
        <v>160</v>
      </c>
      <c r="J311" t="s">
        <v>1705</v>
      </c>
    </row>
    <row r="312" spans="3:10">
      <c r="C312" t="s">
        <v>3757</v>
      </c>
      <c r="D312" t="s">
        <v>3769</v>
      </c>
      <c r="E312">
        <v>11</v>
      </c>
      <c r="F312">
        <v>1</v>
      </c>
      <c r="G312">
        <v>1</v>
      </c>
      <c r="H312">
        <v>170</v>
      </c>
      <c r="J312" t="s">
        <v>1706</v>
      </c>
    </row>
    <row r="313" spans="3:10">
      <c r="C313" t="s">
        <v>3769</v>
      </c>
      <c r="D313" t="s">
        <v>3757</v>
      </c>
      <c r="E313">
        <v>11</v>
      </c>
      <c r="F313">
        <v>2</v>
      </c>
      <c r="G313">
        <v>1</v>
      </c>
      <c r="H313">
        <v>155</v>
      </c>
      <c r="J313" t="s">
        <v>1707</v>
      </c>
    </row>
    <row r="314" spans="3:10">
      <c r="C314" t="s">
        <v>3769</v>
      </c>
      <c r="D314" t="s">
        <v>3770</v>
      </c>
      <c r="E314">
        <v>11</v>
      </c>
      <c r="F314">
        <v>1</v>
      </c>
      <c r="G314">
        <v>1</v>
      </c>
      <c r="H314">
        <v>165</v>
      </c>
      <c r="J314" t="s">
        <v>1708</v>
      </c>
    </row>
    <row r="315" spans="3:10">
      <c r="C315" t="s">
        <v>3770</v>
      </c>
      <c r="D315" t="s">
        <v>3769</v>
      </c>
      <c r="E315">
        <v>11</v>
      </c>
      <c r="F315">
        <v>2</v>
      </c>
      <c r="G315">
        <v>1</v>
      </c>
      <c r="H315">
        <v>165</v>
      </c>
      <c r="J315" t="s">
        <v>1709</v>
      </c>
    </row>
    <row r="316" spans="3:10">
      <c r="C316" t="s">
        <v>3770</v>
      </c>
      <c r="D316" t="s">
        <v>3771</v>
      </c>
      <c r="E316">
        <v>11</v>
      </c>
      <c r="F316">
        <v>1</v>
      </c>
      <c r="G316">
        <v>1</v>
      </c>
      <c r="H316">
        <v>150</v>
      </c>
      <c r="J316" t="s">
        <v>1710</v>
      </c>
    </row>
    <row r="317" spans="3:10">
      <c r="C317" t="s">
        <v>3771</v>
      </c>
      <c r="D317" t="s">
        <v>3770</v>
      </c>
      <c r="E317">
        <v>11</v>
      </c>
      <c r="F317">
        <v>2</v>
      </c>
      <c r="G317">
        <v>1</v>
      </c>
      <c r="H317">
        <v>150</v>
      </c>
      <c r="J317" t="s">
        <v>1711</v>
      </c>
    </row>
    <row r="318" spans="3:10">
      <c r="C318" t="s">
        <v>3771</v>
      </c>
      <c r="D318" t="s">
        <v>3772</v>
      </c>
      <c r="E318">
        <v>11</v>
      </c>
      <c r="F318">
        <v>1</v>
      </c>
      <c r="G318">
        <v>1</v>
      </c>
      <c r="H318">
        <v>175</v>
      </c>
      <c r="J318" t="s">
        <v>1712</v>
      </c>
    </row>
    <row r="319" spans="3:10">
      <c r="C319" t="s">
        <v>3772</v>
      </c>
      <c r="D319" t="s">
        <v>3771</v>
      </c>
      <c r="E319">
        <v>11</v>
      </c>
      <c r="F319">
        <v>2</v>
      </c>
      <c r="G319">
        <v>1</v>
      </c>
      <c r="H319">
        <v>180</v>
      </c>
      <c r="J319" t="s">
        <v>1713</v>
      </c>
    </row>
    <row r="320" spans="3:10">
      <c r="C320" t="s">
        <v>3772</v>
      </c>
      <c r="D320" t="s">
        <v>315</v>
      </c>
      <c r="E320">
        <v>11</v>
      </c>
      <c r="F320">
        <v>1</v>
      </c>
      <c r="G320">
        <v>1</v>
      </c>
      <c r="H320">
        <v>180</v>
      </c>
      <c r="J320" t="s">
        <v>1714</v>
      </c>
    </row>
    <row r="321" spans="3:10">
      <c r="C321" t="s">
        <v>315</v>
      </c>
      <c r="D321" t="s">
        <v>3772</v>
      </c>
      <c r="E321">
        <v>11</v>
      </c>
      <c r="F321">
        <v>2</v>
      </c>
      <c r="G321">
        <v>1</v>
      </c>
      <c r="H321">
        <v>180</v>
      </c>
      <c r="J321" t="s">
        <v>1715</v>
      </c>
    </row>
    <row r="322" spans="3:10">
      <c r="C322" t="s">
        <v>315</v>
      </c>
      <c r="D322" t="s">
        <v>316</v>
      </c>
      <c r="E322">
        <v>11</v>
      </c>
      <c r="F322">
        <v>1</v>
      </c>
      <c r="G322">
        <v>1</v>
      </c>
      <c r="H322">
        <v>130</v>
      </c>
      <c r="J322" t="s">
        <v>1716</v>
      </c>
    </row>
    <row r="323" spans="3:10">
      <c r="C323" t="s">
        <v>316</v>
      </c>
      <c r="D323" t="s">
        <v>315</v>
      </c>
      <c r="E323">
        <v>11</v>
      </c>
      <c r="F323">
        <v>2</v>
      </c>
      <c r="G323">
        <v>1</v>
      </c>
      <c r="H323">
        <v>130</v>
      </c>
      <c r="J323" t="s">
        <v>1717</v>
      </c>
    </row>
    <row r="324" spans="3:10">
      <c r="C324" t="s">
        <v>316</v>
      </c>
      <c r="D324" t="s">
        <v>3773</v>
      </c>
      <c r="E324">
        <v>11</v>
      </c>
      <c r="F324">
        <v>1</v>
      </c>
      <c r="G324">
        <v>1</v>
      </c>
      <c r="H324">
        <v>168</v>
      </c>
      <c r="J324" t="s">
        <v>1718</v>
      </c>
    </row>
    <row r="325" spans="3:10">
      <c r="C325" t="s">
        <v>3773</v>
      </c>
      <c r="D325" t="s">
        <v>316</v>
      </c>
      <c r="E325">
        <v>11</v>
      </c>
      <c r="F325">
        <v>2</v>
      </c>
      <c r="G325">
        <v>1</v>
      </c>
      <c r="H325">
        <v>165</v>
      </c>
      <c r="J325" t="s">
        <v>1719</v>
      </c>
    </row>
    <row r="326" spans="3:10">
      <c r="C326" t="s">
        <v>3773</v>
      </c>
      <c r="D326" t="s">
        <v>318</v>
      </c>
      <c r="E326">
        <v>11</v>
      </c>
      <c r="F326">
        <v>1</v>
      </c>
      <c r="G326">
        <v>1</v>
      </c>
      <c r="H326">
        <v>187</v>
      </c>
      <c r="J326" t="s">
        <v>1720</v>
      </c>
    </row>
    <row r="327" spans="3:10">
      <c r="C327" t="s">
        <v>318</v>
      </c>
      <c r="D327" t="s">
        <v>3773</v>
      </c>
      <c r="E327">
        <v>11</v>
      </c>
      <c r="F327">
        <v>2</v>
      </c>
      <c r="G327">
        <v>1</v>
      </c>
      <c r="H327">
        <v>185</v>
      </c>
      <c r="J327" t="s">
        <v>1721</v>
      </c>
    </row>
    <row r="328" spans="3:10">
      <c r="C328" t="s">
        <v>318</v>
      </c>
      <c r="D328" t="s">
        <v>3774</v>
      </c>
      <c r="E328">
        <v>11</v>
      </c>
      <c r="F328">
        <v>1</v>
      </c>
      <c r="G328">
        <v>1</v>
      </c>
      <c r="H328">
        <v>135</v>
      </c>
      <c r="J328" t="s">
        <v>1722</v>
      </c>
    </row>
    <row r="329" spans="3:10">
      <c r="C329" t="s">
        <v>3774</v>
      </c>
      <c r="D329" t="s">
        <v>318</v>
      </c>
      <c r="E329">
        <v>11</v>
      </c>
      <c r="F329">
        <v>2</v>
      </c>
      <c r="G329">
        <v>1</v>
      </c>
      <c r="H329">
        <v>140</v>
      </c>
      <c r="J329" t="s">
        <v>1723</v>
      </c>
    </row>
    <row r="330" spans="3:10">
      <c r="C330" t="s">
        <v>3774</v>
      </c>
      <c r="D330" t="s">
        <v>3775</v>
      </c>
      <c r="E330">
        <v>11</v>
      </c>
      <c r="F330">
        <v>1</v>
      </c>
      <c r="G330">
        <v>1</v>
      </c>
      <c r="H330">
        <v>150</v>
      </c>
      <c r="J330" t="s">
        <v>1724</v>
      </c>
    </row>
    <row r="331" spans="3:10">
      <c r="C331" t="s">
        <v>3775</v>
      </c>
      <c r="D331" t="s">
        <v>3774</v>
      </c>
      <c r="E331">
        <v>11</v>
      </c>
      <c r="F331">
        <v>2</v>
      </c>
      <c r="G331">
        <v>1</v>
      </c>
      <c r="H331">
        <v>145</v>
      </c>
      <c r="J331" t="s">
        <v>1725</v>
      </c>
    </row>
    <row r="332" spans="3:10">
      <c r="C332" t="s">
        <v>3775</v>
      </c>
      <c r="D332" t="s">
        <v>195</v>
      </c>
      <c r="E332">
        <v>11</v>
      </c>
      <c r="F332">
        <v>1</v>
      </c>
      <c r="G332">
        <v>1</v>
      </c>
      <c r="H332">
        <v>160</v>
      </c>
      <c r="J332" t="s">
        <v>1726</v>
      </c>
    </row>
    <row r="333" spans="3:10">
      <c r="C333" t="s">
        <v>195</v>
      </c>
      <c r="D333" t="s">
        <v>3775</v>
      </c>
      <c r="E333">
        <v>11</v>
      </c>
      <c r="F333">
        <v>2</v>
      </c>
      <c r="G333">
        <v>1</v>
      </c>
      <c r="H333">
        <v>145</v>
      </c>
      <c r="J333" t="s">
        <v>1727</v>
      </c>
    </row>
  </sheetData>
  <sortState ref="C4:J331">
    <sortCondition ref="E4:E331"/>
  </sortState>
  <dataValidations count="1">
    <dataValidation type="list" allowBlank="1" showInputMessage="1" showErrorMessage="1" sqref="C6:D541">
      <formula1>Estaciones</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Hoja7"/>
  <dimension ref="B3:I58"/>
  <sheetViews>
    <sheetView topLeftCell="A15" workbookViewId="0">
      <selection activeCell="F5" sqref="F5:F52"/>
    </sheetView>
  </sheetViews>
  <sheetFormatPr baseColWidth="10" defaultRowHeight="15"/>
  <cols>
    <col min="2" max="2" width="5.28515625" customWidth="1"/>
    <col min="3" max="3" width="17" customWidth="1"/>
    <col min="4" max="4" width="8.5703125" bestFit="1" customWidth="1"/>
    <col min="5" max="5" width="33.85546875" bestFit="1" customWidth="1"/>
    <col min="6" max="6" width="33" customWidth="1"/>
    <col min="7" max="7" width="44.140625" bestFit="1" customWidth="1"/>
    <col min="8" max="8" width="6.5703125" customWidth="1"/>
    <col min="9" max="9" width="83.7109375" customWidth="1"/>
  </cols>
  <sheetData>
    <row r="3" spans="2:9">
      <c r="C3" s="9" t="s">
        <v>401</v>
      </c>
      <c r="D3" s="9" t="s">
        <v>350</v>
      </c>
      <c r="E3" s="9" t="s">
        <v>185</v>
      </c>
      <c r="F3" s="9" t="s">
        <v>650</v>
      </c>
      <c r="G3" s="9" t="s">
        <v>70</v>
      </c>
      <c r="H3" s="9"/>
      <c r="I3" s="9"/>
    </row>
    <row r="4" spans="2:9">
      <c r="C4" s="32" t="s">
        <v>1269</v>
      </c>
      <c r="D4" s="9" t="s">
        <v>1075</v>
      </c>
      <c r="E4" s="9" t="s">
        <v>1076</v>
      </c>
      <c r="F4" s="9" t="s">
        <v>1077</v>
      </c>
      <c r="G4" s="9" t="s">
        <v>1077</v>
      </c>
      <c r="H4" s="9"/>
      <c r="I4" s="9" t="s">
        <v>1270</v>
      </c>
    </row>
    <row r="5" spans="2:9">
      <c r="C5" t="str">
        <f>CONCATENATE(D5,"     ",E5)</f>
        <v>1     Arte y Cultura</v>
      </c>
      <c r="D5">
        <v>1</v>
      </c>
      <c r="E5" s="15" t="s">
        <v>694</v>
      </c>
      <c r="F5" s="15" t="s">
        <v>1736</v>
      </c>
      <c r="G5" t="s">
        <v>658</v>
      </c>
      <c r="I5" t="s">
        <v>3700</v>
      </c>
    </row>
    <row r="6" spans="2:9">
      <c r="B6" s="8"/>
      <c r="C6" t="str">
        <f t="shared" ref="C6:C15" si="0">CONCATENATE(D6,"     ",E6)</f>
        <v>2     Cajeros Automáticos</v>
      </c>
      <c r="D6">
        <f>D5+1</f>
        <v>2</v>
      </c>
      <c r="E6" s="15" t="s">
        <v>3693</v>
      </c>
      <c r="F6" s="15" t="s">
        <v>721</v>
      </c>
      <c r="G6" t="s">
        <v>688</v>
      </c>
      <c r="I6" t="s">
        <v>3701</v>
      </c>
    </row>
    <row r="7" spans="2:9">
      <c r="B7" s="8"/>
      <c r="C7" t="str">
        <f t="shared" si="0"/>
        <v>3     Baños Públicos</v>
      </c>
      <c r="D7">
        <f t="shared" ref="D7:D15" si="1">D6+1</f>
        <v>3</v>
      </c>
      <c r="E7" s="15" t="s">
        <v>3694</v>
      </c>
      <c r="F7" s="15" t="s">
        <v>1737</v>
      </c>
      <c r="G7" t="s">
        <v>656</v>
      </c>
      <c r="I7" t="s">
        <v>3702</v>
      </c>
    </row>
    <row r="8" spans="2:9">
      <c r="C8" t="str">
        <f t="shared" si="0"/>
        <v>4     Cafetería</v>
      </c>
      <c r="D8">
        <f t="shared" si="1"/>
        <v>4</v>
      </c>
      <c r="E8" s="15" t="s">
        <v>3695</v>
      </c>
      <c r="F8" s="15" t="s">
        <v>653</v>
      </c>
      <c r="G8" t="s">
        <v>659</v>
      </c>
      <c r="I8" t="s">
        <v>3703</v>
      </c>
    </row>
    <row r="9" spans="2:9">
      <c r="C9" t="str">
        <f t="shared" si="0"/>
        <v>5     Circuito Cerrado de TV</v>
      </c>
      <c r="D9">
        <f t="shared" si="1"/>
        <v>5</v>
      </c>
      <c r="E9" s="15" t="s">
        <v>695</v>
      </c>
      <c r="F9" s="15" t="s">
        <v>722</v>
      </c>
      <c r="G9" t="s">
        <v>660</v>
      </c>
      <c r="I9" t="s">
        <v>1254</v>
      </c>
    </row>
    <row r="10" spans="2:9">
      <c r="C10" t="str">
        <f t="shared" si="0"/>
        <v>6     Celulares</v>
      </c>
      <c r="D10">
        <f t="shared" si="1"/>
        <v>6</v>
      </c>
      <c r="E10" s="15" t="s">
        <v>696</v>
      </c>
      <c r="F10" s="15" t="s">
        <v>723</v>
      </c>
      <c r="G10" t="s">
        <v>661</v>
      </c>
      <c r="I10" t="s">
        <v>1255</v>
      </c>
    </row>
    <row r="11" spans="2:9">
      <c r="C11" t="str">
        <f t="shared" si="0"/>
        <v>7     Centro de Hidratación</v>
      </c>
      <c r="D11">
        <f t="shared" si="1"/>
        <v>7</v>
      </c>
      <c r="E11" s="15" t="s">
        <v>697</v>
      </c>
      <c r="F11" s="15" t="s">
        <v>1738</v>
      </c>
      <c r="G11" t="s">
        <v>662</v>
      </c>
      <c r="I11" t="s">
        <v>3704</v>
      </c>
    </row>
    <row r="12" spans="2:9">
      <c r="C12" t="str">
        <f t="shared" si="0"/>
        <v>8     Centro de Revelado</v>
      </c>
      <c r="D12">
        <f t="shared" si="1"/>
        <v>8</v>
      </c>
      <c r="E12" s="15" t="s">
        <v>698</v>
      </c>
      <c r="F12" s="15" t="s">
        <v>724</v>
      </c>
      <c r="G12" t="s">
        <v>663</v>
      </c>
      <c r="I12" t="s">
        <v>1256</v>
      </c>
    </row>
    <row r="13" spans="2:9">
      <c r="C13" t="str">
        <f t="shared" si="0"/>
        <v>9     Comida</v>
      </c>
      <c r="D13">
        <f t="shared" si="1"/>
        <v>9</v>
      </c>
      <c r="E13" s="15" t="s">
        <v>1739</v>
      </c>
      <c r="F13" s="15" t="s">
        <v>725</v>
      </c>
      <c r="G13" t="s">
        <v>689</v>
      </c>
      <c r="I13" t="s">
        <v>3705</v>
      </c>
    </row>
    <row r="14" spans="2:9">
      <c r="C14" t="str">
        <f t="shared" si="0"/>
        <v>10     Cosméticos</v>
      </c>
      <c r="D14">
        <f t="shared" si="1"/>
        <v>10</v>
      </c>
      <c r="E14" s="15" t="s">
        <v>699</v>
      </c>
      <c r="F14" s="15" t="s">
        <v>726</v>
      </c>
      <c r="G14" t="s">
        <v>690</v>
      </c>
      <c r="I14" t="s">
        <v>1257</v>
      </c>
    </row>
    <row r="15" spans="2:9">
      <c r="C15" t="str">
        <f t="shared" si="0"/>
        <v>11     Cybercafé</v>
      </c>
      <c r="D15">
        <f t="shared" si="1"/>
        <v>11</v>
      </c>
      <c r="E15" s="15" t="s">
        <v>3696</v>
      </c>
      <c r="F15" s="15" t="s">
        <v>651</v>
      </c>
      <c r="G15" t="s">
        <v>664</v>
      </c>
      <c r="I15" t="s">
        <v>3706</v>
      </c>
    </row>
    <row r="16" spans="2:9">
      <c r="C16" t="str">
        <f t="shared" ref="C16:C52" si="2">CONCATENATE(D16,"     ",E16)</f>
        <v>12     Expendio de Pan</v>
      </c>
      <c r="D16">
        <f t="shared" ref="D16:D52" si="3">D15+1</f>
        <v>12</v>
      </c>
      <c r="E16" s="15" t="s">
        <v>487</v>
      </c>
      <c r="F16" s="15" t="s">
        <v>1740</v>
      </c>
      <c r="G16" t="s">
        <v>665</v>
      </c>
      <c r="I16" t="s">
        <v>3707</v>
      </c>
    </row>
    <row r="17" spans="3:9">
      <c r="C17" t="str">
        <f t="shared" si="2"/>
        <v>13     Farmacias</v>
      </c>
      <c r="D17">
        <f t="shared" si="3"/>
        <v>13</v>
      </c>
      <c r="E17" s="15" t="s">
        <v>700</v>
      </c>
      <c r="F17" s="15" t="s">
        <v>727</v>
      </c>
      <c r="G17" t="s">
        <v>691</v>
      </c>
      <c r="I17" t="s">
        <v>1258</v>
      </c>
    </row>
    <row r="18" spans="3:9">
      <c r="C18" t="str">
        <f t="shared" si="2"/>
        <v>14     Fuente de Sodas</v>
      </c>
      <c r="D18">
        <f t="shared" si="3"/>
        <v>14</v>
      </c>
      <c r="E18" s="15" t="s">
        <v>701</v>
      </c>
      <c r="F18" s="15" t="s">
        <v>1741</v>
      </c>
      <c r="G18" t="s">
        <v>666</v>
      </c>
      <c r="I18" t="s">
        <v>3708</v>
      </c>
    </row>
    <row r="19" spans="3:9">
      <c r="C19" t="str">
        <f t="shared" si="2"/>
        <v>15     Helados</v>
      </c>
      <c r="D19">
        <f t="shared" si="3"/>
        <v>15</v>
      </c>
      <c r="E19" s="15" t="s">
        <v>702</v>
      </c>
      <c r="F19" s="15" t="s">
        <v>3679</v>
      </c>
      <c r="G19" t="s">
        <v>667</v>
      </c>
      <c r="I19" t="s">
        <v>3709</v>
      </c>
    </row>
    <row r="20" spans="3:9">
      <c r="C20" t="str">
        <f t="shared" si="2"/>
        <v>16     Jefe de Estación</v>
      </c>
      <c r="D20">
        <f t="shared" si="3"/>
        <v>16</v>
      </c>
      <c r="E20" s="15" t="s">
        <v>703</v>
      </c>
      <c r="F20" s="15" t="s">
        <v>1742</v>
      </c>
      <c r="G20" t="s">
        <v>668</v>
      </c>
      <c r="I20" t="s">
        <v>3710</v>
      </c>
    </row>
    <row r="21" spans="3:9">
      <c r="C21" t="str">
        <f t="shared" si="2"/>
        <v>17     Joyería</v>
      </c>
      <c r="D21">
        <f t="shared" si="3"/>
        <v>17</v>
      </c>
      <c r="E21" s="15" t="s">
        <v>1743</v>
      </c>
      <c r="F21" s="15" t="s">
        <v>728</v>
      </c>
      <c r="G21" t="s">
        <v>669</v>
      </c>
      <c r="I21" t="s">
        <v>3711</v>
      </c>
    </row>
    <row r="22" spans="3:9">
      <c r="C22" t="str">
        <f t="shared" si="2"/>
        <v>18     Libros</v>
      </c>
      <c r="D22">
        <f t="shared" si="3"/>
        <v>18</v>
      </c>
      <c r="E22" s="15" t="s">
        <v>704</v>
      </c>
      <c r="F22" s="15" t="s">
        <v>3680</v>
      </c>
      <c r="G22" t="s">
        <v>670</v>
      </c>
      <c r="I22" t="s">
        <v>3712</v>
      </c>
    </row>
    <row r="23" spans="3:9">
      <c r="C23" t="str">
        <f t="shared" si="2"/>
        <v>19     Lotería</v>
      </c>
      <c r="D23">
        <f t="shared" si="3"/>
        <v>19</v>
      </c>
      <c r="E23" s="15" t="s">
        <v>1744</v>
      </c>
      <c r="F23" s="15" t="s">
        <v>729</v>
      </c>
      <c r="G23" t="s">
        <v>671</v>
      </c>
      <c r="I23" t="s">
        <v>3713</v>
      </c>
    </row>
    <row r="24" spans="3:9">
      <c r="C24" t="str">
        <f t="shared" si="2"/>
        <v>20     Videojuegos</v>
      </c>
      <c r="D24">
        <f t="shared" si="3"/>
        <v>20</v>
      </c>
      <c r="E24" s="15" t="s">
        <v>708</v>
      </c>
      <c r="F24" s="15" t="s">
        <v>3681</v>
      </c>
      <c r="G24" t="s">
        <v>672</v>
      </c>
      <c r="I24" t="s">
        <v>3714</v>
      </c>
    </row>
    <row r="25" spans="3:9">
      <c r="C25" t="str">
        <f t="shared" si="2"/>
        <v>21     Metrobus</v>
      </c>
      <c r="D25">
        <f t="shared" si="3"/>
        <v>21</v>
      </c>
      <c r="E25" s="15" t="s">
        <v>705</v>
      </c>
      <c r="F25" s="15" t="s">
        <v>730</v>
      </c>
      <c r="G25" t="s">
        <v>673</v>
      </c>
      <c r="I25" t="s">
        <v>1259</v>
      </c>
    </row>
    <row r="26" spans="3:9">
      <c r="C26" t="str">
        <f t="shared" si="2"/>
        <v>22     Moda y Accesorios</v>
      </c>
      <c r="D26">
        <f t="shared" si="3"/>
        <v>22</v>
      </c>
      <c r="E26" s="15" t="s">
        <v>706</v>
      </c>
      <c r="F26" s="15" t="s">
        <v>1745</v>
      </c>
      <c r="G26" t="s">
        <v>674</v>
      </c>
      <c r="I26" t="s">
        <v>3715</v>
      </c>
    </row>
    <row r="27" spans="3:9">
      <c r="C27" t="str">
        <f t="shared" si="2"/>
        <v>23     Monumentos Principales</v>
      </c>
      <c r="D27">
        <f t="shared" si="3"/>
        <v>23</v>
      </c>
      <c r="E27" s="15" t="s">
        <v>707</v>
      </c>
      <c r="F27" s="15" t="s">
        <v>731</v>
      </c>
      <c r="G27" t="s">
        <v>675</v>
      </c>
      <c r="I27" t="s">
        <v>1260</v>
      </c>
    </row>
    <row r="28" spans="3:9">
      <c r="C28" t="str">
        <f t="shared" si="2"/>
        <v>24     Tienda Naturista</v>
      </c>
      <c r="D28">
        <f t="shared" si="3"/>
        <v>24</v>
      </c>
      <c r="E28" s="15" t="s">
        <v>351</v>
      </c>
      <c r="F28" s="15" t="s">
        <v>652</v>
      </c>
      <c r="G28" t="s">
        <v>676</v>
      </c>
      <c r="I28" t="s">
        <v>1261</v>
      </c>
    </row>
    <row r="29" spans="3:9">
      <c r="C29" t="str">
        <f t="shared" si="2"/>
        <v>25     Paradero</v>
      </c>
      <c r="D29">
        <f t="shared" si="3"/>
        <v>25</v>
      </c>
      <c r="E29" s="15" t="s">
        <v>709</v>
      </c>
      <c r="F29" s="15" t="s">
        <v>3682</v>
      </c>
      <c r="G29" t="s">
        <v>677</v>
      </c>
      <c r="I29" t="s">
        <v>3716</v>
      </c>
    </row>
    <row r="30" spans="3:9">
      <c r="C30" t="str">
        <f t="shared" si="2"/>
        <v>26     Periódicos</v>
      </c>
      <c r="D30">
        <f t="shared" si="3"/>
        <v>26</v>
      </c>
      <c r="E30" s="15" t="s">
        <v>710</v>
      </c>
      <c r="F30" s="15" t="s">
        <v>3683</v>
      </c>
      <c r="G30" t="s">
        <v>678</v>
      </c>
      <c r="I30" t="s">
        <v>3717</v>
      </c>
    </row>
    <row r="31" spans="3:9">
      <c r="C31" t="str">
        <f t="shared" si="2"/>
        <v>27     Pizzería</v>
      </c>
      <c r="D31">
        <f t="shared" si="3"/>
        <v>27</v>
      </c>
      <c r="E31" s="15" t="s">
        <v>1747</v>
      </c>
      <c r="F31" s="15" t="s">
        <v>1746</v>
      </c>
      <c r="G31" t="s">
        <v>654</v>
      </c>
      <c r="I31" t="s">
        <v>3718</v>
      </c>
    </row>
    <row r="32" spans="3:9">
      <c r="C32" t="str">
        <f t="shared" si="2"/>
        <v>28     Platería</v>
      </c>
      <c r="D32">
        <f t="shared" si="3"/>
        <v>28</v>
      </c>
      <c r="E32" s="15" t="s">
        <v>1748</v>
      </c>
      <c r="F32" s="15" t="s">
        <v>3684</v>
      </c>
      <c r="G32" t="s">
        <v>679</v>
      </c>
      <c r="I32" t="s">
        <v>3719</v>
      </c>
    </row>
    <row r="33" spans="3:9">
      <c r="C33" t="str">
        <f t="shared" si="2"/>
        <v>29     Ropa</v>
      </c>
      <c r="D33">
        <f t="shared" si="3"/>
        <v>29</v>
      </c>
      <c r="E33" s="15" t="s">
        <v>711</v>
      </c>
      <c r="F33" s="15" t="s">
        <v>732</v>
      </c>
      <c r="G33" t="s">
        <v>680</v>
      </c>
      <c r="I33" t="s">
        <v>1262</v>
      </c>
    </row>
    <row r="34" spans="3:9">
      <c r="C34" t="str">
        <f t="shared" si="2"/>
        <v>30     Seguridad Pública</v>
      </c>
      <c r="D34">
        <f t="shared" si="3"/>
        <v>30</v>
      </c>
      <c r="E34" s="15" t="s">
        <v>712</v>
      </c>
      <c r="F34" s="15" t="s">
        <v>733</v>
      </c>
      <c r="G34" t="s">
        <v>681</v>
      </c>
      <c r="I34" t="s">
        <v>1263</v>
      </c>
    </row>
    <row r="35" spans="3:9">
      <c r="C35" t="str">
        <f t="shared" si="2"/>
        <v>31     Servicios Médicos</v>
      </c>
      <c r="D35">
        <f t="shared" si="3"/>
        <v>31</v>
      </c>
      <c r="E35" s="15" t="s">
        <v>713</v>
      </c>
      <c r="F35" s="15" t="s">
        <v>734</v>
      </c>
      <c r="G35" t="s">
        <v>682</v>
      </c>
      <c r="I35" t="s">
        <v>1264</v>
      </c>
    </row>
    <row r="36" spans="3:9">
      <c r="C36" t="str">
        <f t="shared" si="2"/>
        <v>32     Dentista</v>
      </c>
      <c r="D36">
        <f t="shared" si="3"/>
        <v>32</v>
      </c>
      <c r="E36" s="15" t="s">
        <v>714</v>
      </c>
      <c r="F36" s="15" t="s">
        <v>734</v>
      </c>
      <c r="G36" t="s">
        <v>683</v>
      </c>
      <c r="I36" t="s">
        <v>1265</v>
      </c>
    </row>
    <row r="37" spans="3:9">
      <c r="C37" t="str">
        <f t="shared" si="2"/>
        <v>33     Oftalmólogo</v>
      </c>
      <c r="D37">
        <f t="shared" si="3"/>
        <v>33</v>
      </c>
      <c r="E37" s="15" t="s">
        <v>715</v>
      </c>
      <c r="F37" s="15" t="s">
        <v>734</v>
      </c>
      <c r="G37" t="s">
        <v>684</v>
      </c>
      <c r="I37" t="s">
        <v>1266</v>
      </c>
    </row>
    <row r="38" spans="3:9">
      <c r="C38" t="str">
        <f t="shared" si="2"/>
        <v>34     Servicios Médicos (Toma de Presión)</v>
      </c>
      <c r="D38">
        <f t="shared" si="3"/>
        <v>34</v>
      </c>
      <c r="E38" s="15" t="s">
        <v>716</v>
      </c>
      <c r="F38" s="15" t="s">
        <v>735</v>
      </c>
      <c r="G38" t="s">
        <v>685</v>
      </c>
      <c r="I38" t="s">
        <v>1267</v>
      </c>
    </row>
    <row r="39" spans="3:9">
      <c r="C39" t="str">
        <f t="shared" si="2"/>
        <v>35     Suburbano</v>
      </c>
      <c r="D39">
        <f t="shared" si="3"/>
        <v>35</v>
      </c>
      <c r="E39" s="15" t="s">
        <v>717</v>
      </c>
      <c r="F39" s="15" t="s">
        <v>3685</v>
      </c>
      <c r="G39" t="s">
        <v>686</v>
      </c>
      <c r="I39" t="s">
        <v>3720</v>
      </c>
    </row>
    <row r="40" spans="3:9">
      <c r="C40" t="str">
        <f t="shared" si="2"/>
        <v>36     Taquería</v>
      </c>
      <c r="D40">
        <f t="shared" si="3"/>
        <v>36</v>
      </c>
      <c r="E40" s="15" t="s">
        <v>1749</v>
      </c>
      <c r="F40" s="15" t="s">
        <v>3686</v>
      </c>
      <c r="G40" t="s">
        <v>655</v>
      </c>
      <c r="I40" t="s">
        <v>3721</v>
      </c>
    </row>
    <row r="41" spans="3:9">
      <c r="C41" t="str">
        <f t="shared" si="2"/>
        <v>37     Tienda de Discos</v>
      </c>
      <c r="D41">
        <f t="shared" si="3"/>
        <v>37</v>
      </c>
      <c r="E41" s="15" t="s">
        <v>718</v>
      </c>
      <c r="F41" s="15" t="s">
        <v>1734</v>
      </c>
      <c r="G41" t="s">
        <v>687</v>
      </c>
      <c r="I41" t="s">
        <v>3722</v>
      </c>
    </row>
    <row r="42" spans="3:9">
      <c r="C42" t="str">
        <f t="shared" si="2"/>
        <v>38     Tiendas de Descuento</v>
      </c>
      <c r="D42">
        <f t="shared" si="3"/>
        <v>38</v>
      </c>
      <c r="E42" s="15" t="s">
        <v>719</v>
      </c>
      <c r="F42" s="15" t="s">
        <v>3687</v>
      </c>
      <c r="G42" t="s">
        <v>692</v>
      </c>
      <c r="I42" t="s">
        <v>3723</v>
      </c>
    </row>
    <row r="43" spans="3:9">
      <c r="C43" t="str">
        <f t="shared" si="2"/>
        <v>39     Tortería</v>
      </c>
      <c r="D43">
        <f t="shared" si="3"/>
        <v>39</v>
      </c>
      <c r="E43" s="15" t="s">
        <v>720</v>
      </c>
      <c r="F43" s="15" t="s">
        <v>736</v>
      </c>
      <c r="G43" t="s">
        <v>657</v>
      </c>
      <c r="I43" t="s">
        <v>1268</v>
      </c>
    </row>
    <row r="44" spans="3:9">
      <c r="C44" t="str">
        <f t="shared" si="2"/>
        <v>40     Tren Ligero</v>
      </c>
      <c r="D44">
        <f t="shared" si="3"/>
        <v>40</v>
      </c>
      <c r="E44" s="15" t="s">
        <v>3697</v>
      </c>
      <c r="F44" s="15" t="s">
        <v>3688</v>
      </c>
      <c r="G44" t="s">
        <v>693</v>
      </c>
      <c r="I44" t="s">
        <v>3724</v>
      </c>
    </row>
    <row r="45" spans="3:9">
      <c r="C45" t="str">
        <f t="shared" si="2"/>
        <v>41     Centro Comercial</v>
      </c>
      <c r="D45">
        <f t="shared" si="3"/>
        <v>41</v>
      </c>
      <c r="E45" s="15" t="s">
        <v>881</v>
      </c>
      <c r="F45" s="15" t="s">
        <v>3689</v>
      </c>
      <c r="G45" t="s">
        <v>1757</v>
      </c>
      <c r="I45" t="s">
        <v>3725</v>
      </c>
    </row>
    <row r="46" spans="3:9">
      <c r="C46" t="str">
        <f t="shared" si="2"/>
        <v>42     Mexipuerto</v>
      </c>
      <c r="D46">
        <f t="shared" si="3"/>
        <v>42</v>
      </c>
      <c r="E46" s="15" t="s">
        <v>495</v>
      </c>
      <c r="F46" s="15" t="s">
        <v>3690</v>
      </c>
      <c r="G46" t="s">
        <v>1753</v>
      </c>
      <c r="I46" t="s">
        <v>3726</v>
      </c>
    </row>
    <row r="47" spans="3:9">
      <c r="C47" t="str">
        <f t="shared" si="2"/>
        <v>43     Mini súper / Tienda de Abarrotes</v>
      </c>
      <c r="D47">
        <f t="shared" si="3"/>
        <v>43</v>
      </c>
      <c r="E47" s="15" t="s">
        <v>3698</v>
      </c>
      <c r="F47" s="15" t="s">
        <v>3691</v>
      </c>
      <c r="G47" t="s">
        <v>1754</v>
      </c>
      <c r="I47" t="s">
        <v>3727</v>
      </c>
    </row>
    <row r="48" spans="3:9">
      <c r="C48" t="str">
        <f t="shared" si="2"/>
        <v>44     Taxi</v>
      </c>
      <c r="D48">
        <f t="shared" si="3"/>
        <v>44</v>
      </c>
      <c r="E48" s="15" t="s">
        <v>1730</v>
      </c>
      <c r="F48" s="15" t="s">
        <v>1750</v>
      </c>
      <c r="G48" t="s">
        <v>1755</v>
      </c>
      <c r="I48" t="s">
        <v>3728</v>
      </c>
    </row>
    <row r="49" spans="3:9">
      <c r="C49" t="str">
        <f t="shared" si="2"/>
        <v>45     Mexibus</v>
      </c>
      <c r="D49">
        <f t="shared" si="3"/>
        <v>45</v>
      </c>
      <c r="E49" s="15" t="s">
        <v>1731</v>
      </c>
      <c r="F49" s="15" t="s">
        <v>1751</v>
      </c>
      <c r="G49" t="s">
        <v>1756</v>
      </c>
      <c r="I49" t="s">
        <v>3729</v>
      </c>
    </row>
    <row r="50" spans="3:9">
      <c r="C50" t="str">
        <f t="shared" si="2"/>
        <v>46     Puesto de Revistas</v>
      </c>
      <c r="D50">
        <f t="shared" si="3"/>
        <v>46</v>
      </c>
      <c r="E50" s="15" t="s">
        <v>1733</v>
      </c>
      <c r="F50" s="15" t="s">
        <v>3692</v>
      </c>
      <c r="G50" t="s">
        <v>1758</v>
      </c>
      <c r="I50" t="s">
        <v>3730</v>
      </c>
    </row>
    <row r="51" spans="3:9">
      <c r="C51" t="str">
        <f t="shared" si="2"/>
        <v>47     Teléfono Público</v>
      </c>
      <c r="D51">
        <f t="shared" si="3"/>
        <v>47</v>
      </c>
      <c r="E51" s="15" t="s">
        <v>1732</v>
      </c>
      <c r="F51" s="15" t="s">
        <v>1752</v>
      </c>
      <c r="G51" t="s">
        <v>1759</v>
      </c>
      <c r="I51" t="s">
        <v>3731</v>
      </c>
    </row>
    <row r="52" spans="3:9">
      <c r="C52" t="str">
        <f t="shared" si="2"/>
        <v>48     Tienda de Películas Originales</v>
      </c>
      <c r="D52">
        <f t="shared" si="3"/>
        <v>48</v>
      </c>
      <c r="E52" s="15" t="s">
        <v>3699</v>
      </c>
      <c r="F52" s="15" t="s">
        <v>1735</v>
      </c>
      <c r="G52" t="s">
        <v>1760</v>
      </c>
      <c r="I52" t="s">
        <v>3732</v>
      </c>
    </row>
    <row r="53" spans="3:9">
      <c r="C53" t="s">
        <v>866</v>
      </c>
    </row>
    <row r="54" spans="3:9">
      <c r="C54" t="s">
        <v>1728</v>
      </c>
    </row>
    <row r="55" spans="3:9">
      <c r="C55" t="s">
        <v>1333</v>
      </c>
    </row>
    <row r="56" spans="3:9">
      <c r="C56" t="s">
        <v>878</v>
      </c>
    </row>
    <row r="57" spans="3:9">
      <c r="C57" s="9" t="s">
        <v>1822</v>
      </c>
    </row>
    <row r="58" spans="3:9">
      <c r="C58" s="9" t="s">
        <v>1832</v>
      </c>
    </row>
  </sheetData>
  <pageMargins left="0.7" right="0.7" top="0.75" bottom="0.75" header="0.3" footer="0.3"/>
  <pageSetup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sheetPr codeName="Hoja8"/>
  <dimension ref="A3:L33"/>
  <sheetViews>
    <sheetView topLeftCell="A4" workbookViewId="0">
      <selection activeCell="B24" sqref="B24:B27"/>
    </sheetView>
  </sheetViews>
  <sheetFormatPr baseColWidth="10" defaultRowHeight="15"/>
  <cols>
    <col min="2" max="2" width="20.5703125" customWidth="1"/>
    <col min="3" max="3" width="2.7109375" customWidth="1"/>
    <col min="4" max="4" width="12.85546875" bestFit="1" customWidth="1"/>
    <col min="5" max="5" width="12.85546875" customWidth="1"/>
    <col min="6" max="6" width="18.85546875" bestFit="1" customWidth="1"/>
    <col min="7" max="7" width="45" customWidth="1"/>
    <col min="8" max="8" width="14.42578125" bestFit="1" customWidth="1"/>
    <col min="9" max="9" width="9.5703125" bestFit="1" customWidth="1"/>
    <col min="10" max="10" width="7.28515625" customWidth="1"/>
    <col min="11" max="11" width="40.7109375" customWidth="1"/>
    <col min="12" max="12" width="20.140625" customWidth="1"/>
    <col min="13" max="13" width="11.85546875" bestFit="1" customWidth="1"/>
  </cols>
  <sheetData>
    <row r="3" spans="1:12">
      <c r="B3" s="9" t="s">
        <v>386</v>
      </c>
      <c r="C3" t="s">
        <v>1100</v>
      </c>
      <c r="D3" s="9" t="s">
        <v>357</v>
      </c>
      <c r="E3" s="9" t="s">
        <v>350</v>
      </c>
      <c r="F3" s="9" t="s">
        <v>185</v>
      </c>
      <c r="G3" s="9" t="s">
        <v>650</v>
      </c>
      <c r="H3" s="9" t="s">
        <v>70</v>
      </c>
      <c r="I3" s="9" t="s">
        <v>72</v>
      </c>
      <c r="J3" s="9"/>
      <c r="K3" s="9" t="s">
        <v>354</v>
      </c>
      <c r="L3" s="9"/>
    </row>
    <row r="4" spans="1:12">
      <c r="B4" s="9"/>
      <c r="C4" t="s">
        <v>1100</v>
      </c>
      <c r="D4" s="9" t="s">
        <v>1075</v>
      </c>
      <c r="E4" s="9" t="s">
        <v>1084</v>
      </c>
      <c r="F4" s="9" t="s">
        <v>1076</v>
      </c>
      <c r="G4" s="9" t="s">
        <v>1077</v>
      </c>
      <c r="H4" s="9" t="s">
        <v>1076</v>
      </c>
      <c r="I4" s="9" t="s">
        <v>1078</v>
      </c>
      <c r="J4" s="9"/>
      <c r="K4" s="9"/>
      <c r="L4" s="9"/>
    </row>
    <row r="5" spans="1:12">
      <c r="A5" s="13"/>
      <c r="B5" t="str">
        <f t="shared" ref="B5:B23" si="0">CONCATENATE(D5,"      ",F5)</f>
        <v>1      Dominos Pizza</v>
      </c>
      <c r="C5" t="s">
        <v>1100</v>
      </c>
      <c r="D5">
        <v>1</v>
      </c>
      <c r="E5" t="s">
        <v>737</v>
      </c>
      <c r="F5" t="s">
        <v>359</v>
      </c>
      <c r="G5" s="10" t="s">
        <v>360</v>
      </c>
      <c r="I5">
        <v>0</v>
      </c>
      <c r="K5" t="s">
        <v>1271</v>
      </c>
    </row>
    <row r="6" spans="1:12">
      <c r="B6" t="str">
        <f t="shared" si="0"/>
        <v xml:space="preserve">2      </v>
      </c>
      <c r="C6" t="s">
        <v>1100</v>
      </c>
      <c r="D6">
        <f>D5+1</f>
        <v>2</v>
      </c>
      <c r="G6" s="10"/>
      <c r="I6">
        <v>0</v>
      </c>
      <c r="K6" t="s">
        <v>1272</v>
      </c>
    </row>
    <row r="7" spans="1:12">
      <c r="B7" t="str">
        <f t="shared" si="0"/>
        <v>3      Pizzeria Marios</v>
      </c>
      <c r="C7" t="s">
        <v>1100</v>
      </c>
      <c r="D7">
        <f t="shared" ref="D7:D23" si="1">D6+1</f>
        <v>3</v>
      </c>
      <c r="F7" t="s">
        <v>361</v>
      </c>
      <c r="G7" s="10" t="s">
        <v>649</v>
      </c>
      <c r="I7">
        <v>0</v>
      </c>
      <c r="K7" t="s">
        <v>1273</v>
      </c>
    </row>
    <row r="8" spans="1:12">
      <c r="B8" t="str">
        <f t="shared" si="0"/>
        <v>4      Internet Publico</v>
      </c>
      <c r="C8" t="s">
        <v>1100</v>
      </c>
      <c r="D8">
        <f t="shared" si="1"/>
        <v>4</v>
      </c>
      <c r="F8" t="s">
        <v>352</v>
      </c>
      <c r="G8" s="10" t="s">
        <v>363</v>
      </c>
      <c r="I8">
        <v>0</v>
      </c>
      <c r="K8" t="s">
        <v>1274</v>
      </c>
    </row>
    <row r="9" spans="1:12">
      <c r="B9" t="str">
        <f t="shared" si="0"/>
        <v>5      Internet Gandul</v>
      </c>
      <c r="C9" t="s">
        <v>1100</v>
      </c>
      <c r="D9">
        <f t="shared" si="1"/>
        <v>5</v>
      </c>
      <c r="F9" t="s">
        <v>364</v>
      </c>
      <c r="G9" s="10" t="s">
        <v>365</v>
      </c>
      <c r="I9">
        <v>0</v>
      </c>
      <c r="K9" t="s">
        <v>1275</v>
      </c>
    </row>
    <row r="10" spans="1:12">
      <c r="B10" t="str">
        <f t="shared" si="0"/>
        <v>6      WiFi Prodigy</v>
      </c>
      <c r="C10" t="s">
        <v>1100</v>
      </c>
      <c r="D10">
        <f t="shared" si="1"/>
        <v>6</v>
      </c>
      <c r="F10" t="s">
        <v>362</v>
      </c>
      <c r="G10" s="10" t="s">
        <v>366</v>
      </c>
      <c r="I10">
        <v>0</v>
      </c>
      <c r="K10" t="s">
        <v>1276</v>
      </c>
    </row>
    <row r="11" spans="1:12">
      <c r="B11" t="str">
        <f t="shared" si="0"/>
        <v>7      Nutrisa</v>
      </c>
      <c r="C11" t="s">
        <v>1100</v>
      </c>
      <c r="D11">
        <f t="shared" si="1"/>
        <v>7</v>
      </c>
      <c r="F11" t="s">
        <v>367</v>
      </c>
      <c r="G11" s="10" t="s">
        <v>368</v>
      </c>
      <c r="I11">
        <v>0</v>
      </c>
      <c r="K11" t="s">
        <v>1277</v>
      </c>
    </row>
    <row r="12" spans="1:12">
      <c r="B12" t="str">
        <f t="shared" si="0"/>
        <v>8      Naturista SA</v>
      </c>
      <c r="C12" t="s">
        <v>1100</v>
      </c>
      <c r="D12">
        <f t="shared" si="1"/>
        <v>8</v>
      </c>
      <c r="F12" t="s">
        <v>369</v>
      </c>
      <c r="G12" s="10" t="s">
        <v>370</v>
      </c>
      <c r="I12">
        <v>0</v>
      </c>
      <c r="K12" t="s">
        <v>1278</v>
      </c>
    </row>
    <row r="13" spans="1:12">
      <c r="B13" t="str">
        <f t="shared" si="0"/>
        <v>9      Baños Publicos</v>
      </c>
      <c r="C13" t="s">
        <v>1100</v>
      </c>
      <c r="D13">
        <f t="shared" si="1"/>
        <v>9</v>
      </c>
      <c r="E13" t="s">
        <v>738</v>
      </c>
      <c r="F13" t="s">
        <v>353</v>
      </c>
      <c r="G13" s="10" t="s">
        <v>371</v>
      </c>
      <c r="I13">
        <v>0</v>
      </c>
      <c r="K13" t="s">
        <v>1279</v>
      </c>
    </row>
    <row r="14" spans="1:12">
      <c r="B14" t="str">
        <f t="shared" si="0"/>
        <v>10      OXXO</v>
      </c>
      <c r="C14" t="s">
        <v>1100</v>
      </c>
      <c r="D14">
        <f t="shared" si="1"/>
        <v>10</v>
      </c>
      <c r="E14" t="s">
        <v>739</v>
      </c>
      <c r="F14" t="s">
        <v>372</v>
      </c>
      <c r="G14" s="10" t="s">
        <v>373</v>
      </c>
      <c r="I14">
        <v>0</v>
      </c>
      <c r="K14" t="s">
        <v>1280</v>
      </c>
    </row>
    <row r="15" spans="1:12">
      <c r="B15" t="str">
        <f t="shared" si="0"/>
        <v>11      Abarrotes Don Carlos</v>
      </c>
      <c r="C15" t="s">
        <v>1100</v>
      </c>
      <c r="D15">
        <f t="shared" si="1"/>
        <v>11</v>
      </c>
      <c r="E15" t="s">
        <v>739</v>
      </c>
      <c r="F15" t="s">
        <v>374</v>
      </c>
      <c r="G15" s="10" t="s">
        <v>375</v>
      </c>
      <c r="I15">
        <v>0</v>
      </c>
      <c r="K15" t="s">
        <v>1281</v>
      </c>
    </row>
    <row r="16" spans="1:12">
      <c r="B16" t="str">
        <f t="shared" si="0"/>
        <v>12      Periodicos x</v>
      </c>
      <c r="C16" t="s">
        <v>1100</v>
      </c>
      <c r="D16">
        <f t="shared" si="1"/>
        <v>12</v>
      </c>
      <c r="E16" t="s">
        <v>740</v>
      </c>
      <c r="F16" t="s">
        <v>376</v>
      </c>
      <c r="G16" s="10" t="s">
        <v>377</v>
      </c>
      <c r="I16">
        <v>0</v>
      </c>
      <c r="K16" t="s">
        <v>1282</v>
      </c>
    </row>
    <row r="17" spans="2:11">
      <c r="B17" t="str">
        <f t="shared" si="0"/>
        <v>13      El buen lector</v>
      </c>
      <c r="C17" t="s">
        <v>1100</v>
      </c>
      <c r="D17">
        <f t="shared" si="1"/>
        <v>13</v>
      </c>
      <c r="E17" t="s">
        <v>741</v>
      </c>
      <c r="F17" t="s">
        <v>378</v>
      </c>
      <c r="G17" s="10" t="s">
        <v>379</v>
      </c>
      <c r="I17">
        <v>0</v>
      </c>
      <c r="K17" t="s">
        <v>1283</v>
      </c>
    </row>
    <row r="18" spans="2:11">
      <c r="B18" t="str">
        <f t="shared" si="0"/>
        <v>14      Mc Donnals Café</v>
      </c>
      <c r="C18" t="s">
        <v>1100</v>
      </c>
      <c r="D18">
        <f t="shared" si="1"/>
        <v>14</v>
      </c>
      <c r="E18" t="s">
        <v>742</v>
      </c>
      <c r="F18" t="s">
        <v>380</v>
      </c>
      <c r="G18" s="10" t="s">
        <v>381</v>
      </c>
      <c r="I18">
        <v>0</v>
      </c>
      <c r="K18" t="s">
        <v>1284</v>
      </c>
    </row>
    <row r="19" spans="2:11">
      <c r="B19" t="str">
        <f t="shared" si="0"/>
        <v>15      Starbucks</v>
      </c>
      <c r="C19" t="s">
        <v>1100</v>
      </c>
      <c r="D19">
        <f t="shared" si="1"/>
        <v>15</v>
      </c>
      <c r="E19" t="s">
        <v>742</v>
      </c>
      <c r="F19" t="s">
        <v>382</v>
      </c>
      <c r="G19" s="10" t="s">
        <v>383</v>
      </c>
      <c r="I19">
        <v>0</v>
      </c>
      <c r="K19" t="s">
        <v>1285</v>
      </c>
    </row>
    <row r="20" spans="2:11">
      <c r="B20" t="str">
        <f t="shared" si="0"/>
        <v>16      Bimbo</v>
      </c>
      <c r="C20" t="s">
        <v>1100</v>
      </c>
      <c r="D20">
        <f t="shared" si="1"/>
        <v>16</v>
      </c>
      <c r="E20" t="s">
        <v>488</v>
      </c>
      <c r="F20" t="s">
        <v>489</v>
      </c>
      <c r="G20" t="s">
        <v>648</v>
      </c>
      <c r="I20">
        <v>0</v>
      </c>
      <c r="K20" t="s">
        <v>1286</v>
      </c>
    </row>
    <row r="21" spans="2:11">
      <c r="B21" t="str">
        <f t="shared" si="0"/>
        <v>17      Circulo K</v>
      </c>
      <c r="C21" t="s">
        <v>1100</v>
      </c>
      <c r="D21">
        <f t="shared" si="1"/>
        <v>17</v>
      </c>
      <c r="E21" t="s">
        <v>739</v>
      </c>
      <c r="F21" t="s">
        <v>490</v>
      </c>
      <c r="G21" s="10" t="s">
        <v>492</v>
      </c>
      <c r="I21">
        <v>0</v>
      </c>
      <c r="K21" t="s">
        <v>1287</v>
      </c>
    </row>
    <row r="22" spans="2:11">
      <c r="B22" t="str">
        <f t="shared" si="0"/>
        <v>18      Ahbalam</v>
      </c>
      <c r="C22" t="s">
        <v>1100</v>
      </c>
      <c r="D22">
        <f t="shared" si="1"/>
        <v>18</v>
      </c>
      <c r="E22" t="s">
        <v>738</v>
      </c>
      <c r="F22" t="s">
        <v>493</v>
      </c>
      <c r="G22" t="s">
        <v>494</v>
      </c>
      <c r="I22">
        <v>0</v>
      </c>
      <c r="K22" t="s">
        <v>1288</v>
      </c>
    </row>
    <row r="23" spans="2:11">
      <c r="B23" t="str">
        <f t="shared" si="0"/>
        <v>19      Mexipuerto</v>
      </c>
      <c r="C23" t="s">
        <v>1100</v>
      </c>
      <c r="D23">
        <f t="shared" si="1"/>
        <v>19</v>
      </c>
      <c r="E23" s="10" t="s">
        <v>743</v>
      </c>
      <c r="F23" t="s">
        <v>495</v>
      </c>
      <c r="G23" t="s">
        <v>496</v>
      </c>
      <c r="I23">
        <v>0</v>
      </c>
      <c r="K23" t="s">
        <v>1289</v>
      </c>
    </row>
    <row r="24" spans="2:11">
      <c r="C24" t="s">
        <v>1100</v>
      </c>
      <c r="I24" s="13"/>
      <c r="J24" s="13"/>
    </row>
    <row r="25" spans="2:11">
      <c r="C25" t="s">
        <v>1100</v>
      </c>
    </row>
    <row r="26" spans="2:11">
      <c r="C26" t="s">
        <v>1100</v>
      </c>
    </row>
    <row r="27" spans="2:11">
      <c r="C27" t="s">
        <v>1100</v>
      </c>
    </row>
    <row r="28" spans="2:11">
      <c r="C28" t="s">
        <v>1100</v>
      </c>
    </row>
    <row r="29" spans="2:11">
      <c r="C29" t="s">
        <v>1100</v>
      </c>
    </row>
    <row r="30" spans="2:11">
      <c r="C30" t="s">
        <v>1100</v>
      </c>
    </row>
    <row r="31" spans="2:11">
      <c r="C31" t="s">
        <v>1100</v>
      </c>
    </row>
    <row r="32" spans="2:11">
      <c r="C32" t="s">
        <v>1100</v>
      </c>
    </row>
    <row r="33" spans="3:3">
      <c r="C33" t="s">
        <v>1100</v>
      </c>
    </row>
  </sheetData>
  <dataValidations count="1">
    <dataValidation type="list" allowBlank="1" showInputMessage="1" showErrorMessage="1" sqref="E5:E1048576">
      <formula1>Clase</formula1>
    </dataValidation>
  </dataValidations>
  <pageMargins left="0.7" right="0.7" top="0.75" bottom="0.75" header="0.3" footer="0.3"/>
  <pageSetup orientation="portrait" horizontalDpi="1200" verticalDpi="1200" r:id="rId1"/>
  <legacyDrawing r:id="rId2"/>
</worksheet>
</file>

<file path=xl/worksheets/sheet9.xml><?xml version="1.0" encoding="utf-8"?>
<worksheet xmlns="http://schemas.openxmlformats.org/spreadsheetml/2006/main" xmlns:r="http://schemas.openxmlformats.org/officeDocument/2006/relationships">
  <sheetPr codeName="Hoja9"/>
  <dimension ref="B3:I106"/>
  <sheetViews>
    <sheetView tabSelected="1" topLeftCell="A7" workbookViewId="0">
      <selection activeCell="J16" sqref="J16"/>
    </sheetView>
  </sheetViews>
  <sheetFormatPr baseColWidth="10" defaultRowHeight="15"/>
  <cols>
    <col min="2" max="2" width="4" customWidth="1"/>
    <col min="3" max="3" width="20.28515625" bestFit="1" customWidth="1"/>
    <col min="4" max="4" width="18.28515625" bestFit="1" customWidth="1"/>
    <col min="5" max="5" width="17.5703125" bestFit="1" customWidth="1"/>
    <col min="6" max="6" width="26" customWidth="1"/>
    <col min="7" max="7" width="9.5703125" bestFit="1" customWidth="1"/>
    <col min="8" max="8" width="5.28515625" customWidth="1"/>
    <col min="9" max="9" width="54.7109375" customWidth="1"/>
    <col min="11" max="11" width="11.85546875" bestFit="1" customWidth="1"/>
  </cols>
  <sheetData>
    <row r="3" spans="2:9">
      <c r="C3" s="9" t="s">
        <v>357</v>
      </c>
      <c r="D3" s="9" t="s">
        <v>65</v>
      </c>
      <c r="E3" s="9" t="s">
        <v>183</v>
      </c>
      <c r="F3" s="9" t="s">
        <v>650</v>
      </c>
      <c r="G3" s="9" t="s">
        <v>72</v>
      </c>
      <c r="I3" s="9" t="s">
        <v>354</v>
      </c>
    </row>
    <row r="4" spans="2:9">
      <c r="C4" s="9" t="s">
        <v>1084</v>
      </c>
      <c r="D4" s="9" t="s">
        <v>1084</v>
      </c>
      <c r="E4" s="9" t="s">
        <v>1084</v>
      </c>
      <c r="F4" s="9" t="s">
        <v>1077</v>
      </c>
      <c r="G4" s="9" t="s">
        <v>1078</v>
      </c>
      <c r="I4" s="9"/>
    </row>
    <row r="5" spans="2:9">
      <c r="C5" t="s">
        <v>387</v>
      </c>
      <c r="D5" t="s">
        <v>174</v>
      </c>
      <c r="E5" t="s">
        <v>4301</v>
      </c>
      <c r="F5" t="s">
        <v>408</v>
      </c>
      <c r="G5">
        <v>0</v>
      </c>
      <c r="I5" t="s">
        <v>1290</v>
      </c>
    </row>
    <row r="6" spans="2:9">
      <c r="B6" s="8"/>
      <c r="C6" s="8" t="s">
        <v>388</v>
      </c>
      <c r="D6" t="s">
        <v>174</v>
      </c>
      <c r="E6" t="s">
        <v>4301</v>
      </c>
      <c r="F6" t="s">
        <v>389</v>
      </c>
      <c r="G6">
        <v>1</v>
      </c>
      <c r="I6" t="s">
        <v>1291</v>
      </c>
    </row>
    <row r="7" spans="2:9">
      <c r="B7" s="8"/>
      <c r="C7" s="8" t="s">
        <v>390</v>
      </c>
      <c r="D7" t="s">
        <v>246</v>
      </c>
      <c r="E7" t="s">
        <v>391</v>
      </c>
      <c r="F7" t="s">
        <v>392</v>
      </c>
      <c r="G7">
        <v>1</v>
      </c>
      <c r="I7" t="s">
        <v>1292</v>
      </c>
    </row>
    <row r="8" spans="2:9">
      <c r="C8" t="s">
        <v>393</v>
      </c>
      <c r="D8" t="s">
        <v>246</v>
      </c>
      <c r="E8" t="s">
        <v>391</v>
      </c>
      <c r="F8" t="s">
        <v>392</v>
      </c>
      <c r="G8">
        <v>1</v>
      </c>
      <c r="I8" t="s">
        <v>1293</v>
      </c>
    </row>
    <row r="9" spans="2:9">
      <c r="C9" t="s">
        <v>394</v>
      </c>
      <c r="D9" t="s">
        <v>246</v>
      </c>
      <c r="E9" t="s">
        <v>391</v>
      </c>
      <c r="F9" t="s">
        <v>395</v>
      </c>
      <c r="G9">
        <v>1</v>
      </c>
      <c r="I9" t="s">
        <v>1294</v>
      </c>
    </row>
    <row r="10" spans="2:9">
      <c r="C10" t="s">
        <v>396</v>
      </c>
      <c r="D10" t="s">
        <v>186</v>
      </c>
      <c r="E10" t="s">
        <v>385</v>
      </c>
      <c r="F10" t="s">
        <v>397</v>
      </c>
      <c r="G10">
        <v>1</v>
      </c>
      <c r="I10" t="s">
        <v>1295</v>
      </c>
    </row>
    <row r="11" spans="2:9">
      <c r="C11" t="s">
        <v>387</v>
      </c>
      <c r="D11" t="s">
        <v>186</v>
      </c>
      <c r="E11" t="s">
        <v>385</v>
      </c>
      <c r="F11" t="s">
        <v>398</v>
      </c>
      <c r="G11">
        <v>1</v>
      </c>
      <c r="I11" t="s">
        <v>1296</v>
      </c>
    </row>
    <row r="12" spans="2:9">
      <c r="C12" t="s">
        <v>399</v>
      </c>
      <c r="D12" t="s">
        <v>186</v>
      </c>
      <c r="E12" t="s">
        <v>385</v>
      </c>
      <c r="F12" t="s">
        <v>400</v>
      </c>
      <c r="G12">
        <v>1</v>
      </c>
      <c r="I12" t="s">
        <v>1297</v>
      </c>
    </row>
    <row r="13" spans="2:9">
      <c r="C13" t="s">
        <v>497</v>
      </c>
      <c r="D13" t="s">
        <v>195</v>
      </c>
      <c r="E13" t="s">
        <v>501</v>
      </c>
      <c r="F13" t="s">
        <v>496</v>
      </c>
      <c r="G13">
        <v>1</v>
      </c>
      <c r="I13" t="s">
        <v>1298</v>
      </c>
    </row>
    <row r="14" spans="2:9">
      <c r="C14" t="s">
        <v>498</v>
      </c>
      <c r="D14" t="s">
        <v>195</v>
      </c>
      <c r="E14" t="s">
        <v>501</v>
      </c>
      <c r="F14" t="s">
        <v>502</v>
      </c>
      <c r="G14">
        <v>1</v>
      </c>
      <c r="I14" t="s">
        <v>1299</v>
      </c>
    </row>
    <row r="15" spans="2:9">
      <c r="C15" t="s">
        <v>499</v>
      </c>
      <c r="D15" t="s">
        <v>195</v>
      </c>
      <c r="E15" t="s">
        <v>501</v>
      </c>
      <c r="F15" t="s">
        <v>491</v>
      </c>
      <c r="G15">
        <v>1</v>
      </c>
      <c r="I15" t="s">
        <v>1300</v>
      </c>
    </row>
    <row r="16" spans="2:9">
      <c r="C16" t="s">
        <v>500</v>
      </c>
      <c r="D16" t="s">
        <v>195</v>
      </c>
      <c r="E16" t="s">
        <v>501</v>
      </c>
      <c r="F16" t="s">
        <v>494</v>
      </c>
      <c r="G16">
        <v>1</v>
      </c>
      <c r="I16" t="s">
        <v>1301</v>
      </c>
    </row>
    <row r="17" spans="3:8">
      <c r="C17" t="s">
        <v>1400</v>
      </c>
      <c r="D17" t="s">
        <v>195</v>
      </c>
      <c r="E17" t="s">
        <v>501</v>
      </c>
      <c r="F17" t="s">
        <v>4013</v>
      </c>
    </row>
    <row r="18" spans="3:8">
      <c r="C18" t="s">
        <v>883</v>
      </c>
      <c r="D18" t="s">
        <v>195</v>
      </c>
      <c r="E18" t="s">
        <v>501</v>
      </c>
      <c r="F18" t="s">
        <v>502</v>
      </c>
    </row>
    <row r="19" spans="3:8">
      <c r="C19" t="s">
        <v>884</v>
      </c>
      <c r="D19" t="s">
        <v>195</v>
      </c>
      <c r="E19" t="s">
        <v>501</v>
      </c>
      <c r="F19" t="s">
        <v>491</v>
      </c>
    </row>
    <row r="20" spans="3:8">
      <c r="C20" t="s">
        <v>885</v>
      </c>
      <c r="D20" t="s">
        <v>195</v>
      </c>
      <c r="E20" t="s">
        <v>501</v>
      </c>
      <c r="F20" t="s">
        <v>494</v>
      </c>
    </row>
    <row r="21" spans="3:8">
      <c r="C21" t="s">
        <v>887</v>
      </c>
      <c r="D21" t="s">
        <v>195</v>
      </c>
      <c r="E21" t="s">
        <v>501</v>
      </c>
      <c r="F21" t="s">
        <v>886</v>
      </c>
    </row>
    <row r="22" spans="3:8">
      <c r="C22" t="s">
        <v>888</v>
      </c>
      <c r="D22" t="s">
        <v>195</v>
      </c>
      <c r="E22" t="s">
        <v>501</v>
      </c>
      <c r="F22" t="s">
        <v>889</v>
      </c>
      <c r="H22" s="13"/>
    </row>
    <row r="23" spans="3:8">
      <c r="C23" t="s">
        <v>890</v>
      </c>
      <c r="D23" t="s">
        <v>195</v>
      </c>
      <c r="E23" t="s">
        <v>501</v>
      </c>
      <c r="F23" t="s">
        <v>891</v>
      </c>
    </row>
    <row r="24" spans="3:8">
      <c r="C24" t="s">
        <v>892</v>
      </c>
      <c r="D24" t="s">
        <v>195</v>
      </c>
      <c r="E24" t="s">
        <v>501</v>
      </c>
      <c r="F24" t="s">
        <v>893</v>
      </c>
    </row>
    <row r="25" spans="3:8">
      <c r="C25" t="s">
        <v>886</v>
      </c>
      <c r="D25" t="s">
        <v>320</v>
      </c>
      <c r="E25" t="s">
        <v>501</v>
      </c>
      <c r="F25" t="s">
        <v>886</v>
      </c>
    </row>
    <row r="26" spans="3:8">
      <c r="C26" t="s">
        <v>892</v>
      </c>
      <c r="D26" t="s">
        <v>320</v>
      </c>
      <c r="E26" t="s">
        <v>501</v>
      </c>
      <c r="F26" t="s">
        <v>893</v>
      </c>
    </row>
    <row r="27" spans="3:8">
      <c r="C27" t="s">
        <v>338</v>
      </c>
      <c r="D27" t="s">
        <v>320</v>
      </c>
      <c r="E27" t="s">
        <v>501</v>
      </c>
      <c r="F27" t="s">
        <v>898</v>
      </c>
    </row>
    <row r="28" spans="3:8">
      <c r="C28" t="s">
        <v>899</v>
      </c>
      <c r="D28" t="s">
        <v>320</v>
      </c>
      <c r="E28" t="s">
        <v>501</v>
      </c>
      <c r="F28" t="s">
        <v>900</v>
      </c>
    </row>
    <row r="29" spans="3:8">
      <c r="C29" t="s">
        <v>888</v>
      </c>
      <c r="D29" t="s">
        <v>320</v>
      </c>
      <c r="E29" t="s">
        <v>501</v>
      </c>
      <c r="F29" t="s">
        <v>889</v>
      </c>
    </row>
    <row r="30" spans="3:8">
      <c r="C30" t="s">
        <v>886</v>
      </c>
      <c r="D30" t="s">
        <v>319</v>
      </c>
      <c r="E30" t="s">
        <v>501</v>
      </c>
      <c r="F30" t="s">
        <v>886</v>
      </c>
    </row>
    <row r="31" spans="3:8">
      <c r="C31" t="s">
        <v>892</v>
      </c>
      <c r="D31" t="s">
        <v>319</v>
      </c>
      <c r="E31" t="s">
        <v>501</v>
      </c>
      <c r="F31" t="s">
        <v>893</v>
      </c>
    </row>
    <row r="32" spans="3:8">
      <c r="C32" t="s">
        <v>905</v>
      </c>
      <c r="D32" t="s">
        <v>319</v>
      </c>
      <c r="E32" t="s">
        <v>501</v>
      </c>
      <c r="F32" t="s">
        <v>906</v>
      </c>
    </row>
    <row r="33" spans="3:6">
      <c r="C33" t="s">
        <v>888</v>
      </c>
      <c r="D33" t="s">
        <v>319</v>
      </c>
      <c r="E33" t="s">
        <v>501</v>
      </c>
      <c r="F33" t="s">
        <v>889</v>
      </c>
    </row>
    <row r="34" spans="3:6">
      <c r="C34" t="s">
        <v>886</v>
      </c>
      <c r="D34" t="s">
        <v>318</v>
      </c>
      <c r="E34" t="s">
        <v>501</v>
      </c>
      <c r="F34" t="s">
        <v>886</v>
      </c>
    </row>
    <row r="35" spans="3:6">
      <c r="C35" t="s">
        <v>892</v>
      </c>
      <c r="D35" t="s">
        <v>318</v>
      </c>
      <c r="E35" t="s">
        <v>501</v>
      </c>
      <c r="F35" t="s">
        <v>893</v>
      </c>
    </row>
    <row r="36" spans="3:6">
      <c r="C36" t="s">
        <v>905</v>
      </c>
      <c r="D36" t="s">
        <v>318</v>
      </c>
      <c r="E36" t="s">
        <v>501</v>
      </c>
      <c r="F36" t="s">
        <v>912</v>
      </c>
    </row>
    <row r="37" spans="3:6">
      <c r="C37" t="s">
        <v>888</v>
      </c>
      <c r="D37" t="s">
        <v>318</v>
      </c>
      <c r="E37" t="s">
        <v>501</v>
      </c>
      <c r="F37" t="s">
        <v>889</v>
      </c>
    </row>
    <row r="38" spans="3:6">
      <c r="C38" t="s">
        <v>886</v>
      </c>
      <c r="D38" t="s">
        <v>317</v>
      </c>
      <c r="E38" t="s">
        <v>501</v>
      </c>
      <c r="F38" t="s">
        <v>886</v>
      </c>
    </row>
    <row r="39" spans="3:6">
      <c r="C39" t="s">
        <v>892</v>
      </c>
      <c r="D39" t="s">
        <v>317</v>
      </c>
      <c r="E39" t="s">
        <v>501</v>
      </c>
      <c r="F39" t="s">
        <v>893</v>
      </c>
    </row>
    <row r="40" spans="3:6">
      <c r="C40" t="s">
        <v>888</v>
      </c>
      <c r="D40" t="s">
        <v>317</v>
      </c>
      <c r="E40" t="s">
        <v>501</v>
      </c>
      <c r="F40" t="s">
        <v>889</v>
      </c>
    </row>
    <row r="41" spans="3:6">
      <c r="C41" t="s">
        <v>892</v>
      </c>
      <c r="D41" t="s">
        <v>316</v>
      </c>
      <c r="E41" t="s">
        <v>501</v>
      </c>
      <c r="F41" t="s">
        <v>893</v>
      </c>
    </row>
    <row r="42" spans="3:6">
      <c r="C42" t="s">
        <v>888</v>
      </c>
      <c r="D42" t="s">
        <v>316</v>
      </c>
      <c r="E42" t="s">
        <v>501</v>
      </c>
      <c r="F42" t="s">
        <v>889</v>
      </c>
    </row>
    <row r="43" spans="3:6">
      <c r="C43" t="s">
        <v>886</v>
      </c>
      <c r="D43" t="s">
        <v>315</v>
      </c>
      <c r="E43" t="s">
        <v>501</v>
      </c>
      <c r="F43" t="s">
        <v>886</v>
      </c>
    </row>
    <row r="44" spans="3:6">
      <c r="C44" t="s">
        <v>888</v>
      </c>
      <c r="D44" t="s">
        <v>315</v>
      </c>
      <c r="E44" t="s">
        <v>501</v>
      </c>
      <c r="F44" t="s">
        <v>889</v>
      </c>
    </row>
    <row r="45" spans="3:6">
      <c r="C45" t="s">
        <v>886</v>
      </c>
      <c r="D45" t="s">
        <v>314</v>
      </c>
      <c r="E45" t="s">
        <v>501</v>
      </c>
      <c r="F45" t="s">
        <v>886</v>
      </c>
    </row>
    <row r="46" spans="3:6">
      <c r="C46" t="s">
        <v>892</v>
      </c>
      <c r="D46" t="s">
        <v>314</v>
      </c>
      <c r="E46" t="s">
        <v>501</v>
      </c>
      <c r="F46" t="s">
        <v>893</v>
      </c>
    </row>
    <row r="47" spans="3:6">
      <c r="C47" t="s">
        <v>946</v>
      </c>
      <c r="D47" t="s">
        <v>314</v>
      </c>
      <c r="E47" t="s">
        <v>501</v>
      </c>
      <c r="F47" t="s">
        <v>898</v>
      </c>
    </row>
    <row r="48" spans="3:6">
      <c r="C48" t="s">
        <v>888</v>
      </c>
      <c r="D48" t="s">
        <v>314</v>
      </c>
      <c r="E48" t="s">
        <v>501</v>
      </c>
      <c r="F48" t="s">
        <v>889</v>
      </c>
    </row>
    <row r="49" spans="3:6">
      <c r="C49" t="s">
        <v>886</v>
      </c>
      <c r="D49" t="s">
        <v>313</v>
      </c>
      <c r="E49" t="s">
        <v>501</v>
      </c>
      <c r="F49" t="s">
        <v>886</v>
      </c>
    </row>
    <row r="50" spans="3:6">
      <c r="C50" t="s">
        <v>888</v>
      </c>
      <c r="D50" t="s">
        <v>313</v>
      </c>
      <c r="E50" t="s">
        <v>501</v>
      </c>
      <c r="F50" t="s">
        <v>889</v>
      </c>
    </row>
    <row r="51" spans="3:6">
      <c r="C51" t="s">
        <v>888</v>
      </c>
      <c r="D51" t="s">
        <v>312</v>
      </c>
      <c r="E51" t="s">
        <v>501</v>
      </c>
      <c r="F51" t="s">
        <v>889</v>
      </c>
    </row>
    <row r="52" spans="3:6">
      <c r="C52" t="s">
        <v>888</v>
      </c>
      <c r="D52" t="s">
        <v>311</v>
      </c>
      <c r="E52" t="s">
        <v>501</v>
      </c>
      <c r="F52" t="s">
        <v>889</v>
      </c>
    </row>
    <row r="53" spans="3:6">
      <c r="C53" t="s">
        <v>892</v>
      </c>
      <c r="D53" t="s">
        <v>311</v>
      </c>
      <c r="E53" t="s">
        <v>501</v>
      </c>
      <c r="F53" t="s">
        <v>893</v>
      </c>
    </row>
    <row r="54" spans="3:6">
      <c r="C54" t="s">
        <v>975</v>
      </c>
      <c r="D54" t="s">
        <v>176</v>
      </c>
      <c r="E54" t="s">
        <v>501</v>
      </c>
      <c r="F54" t="s">
        <v>976</v>
      </c>
    </row>
    <row r="55" spans="3:6">
      <c r="C55" t="s">
        <v>977</v>
      </c>
      <c r="D55" t="s">
        <v>176</v>
      </c>
      <c r="E55" t="s">
        <v>501</v>
      </c>
      <c r="F55" t="s">
        <v>978</v>
      </c>
    </row>
    <row r="56" spans="3:6">
      <c r="C56" t="s">
        <v>979</v>
      </c>
      <c r="D56" t="s">
        <v>176</v>
      </c>
      <c r="E56" t="s">
        <v>501</v>
      </c>
      <c r="F56" t="s">
        <v>979</v>
      </c>
    </row>
    <row r="57" spans="3:6">
      <c r="C57" t="s">
        <v>980</v>
      </c>
      <c r="D57" t="s">
        <v>176</v>
      </c>
      <c r="E57" t="s">
        <v>501</v>
      </c>
      <c r="F57" t="s">
        <v>981</v>
      </c>
    </row>
    <row r="58" spans="3:6">
      <c r="C58" t="s">
        <v>982</v>
      </c>
      <c r="D58" t="s">
        <v>176</v>
      </c>
      <c r="E58" t="s">
        <v>501</v>
      </c>
      <c r="F58" t="s">
        <v>983</v>
      </c>
    </row>
    <row r="59" spans="3:6">
      <c r="C59" t="s">
        <v>979</v>
      </c>
      <c r="D59" t="s">
        <v>310</v>
      </c>
      <c r="E59" t="s">
        <v>501</v>
      </c>
      <c r="F59" t="s">
        <v>979</v>
      </c>
    </row>
    <row r="60" spans="3:6">
      <c r="C60" t="s">
        <v>987</v>
      </c>
      <c r="D60" t="s">
        <v>310</v>
      </c>
      <c r="E60" t="s">
        <v>501</v>
      </c>
      <c r="F60" t="s">
        <v>987</v>
      </c>
    </row>
    <row r="61" spans="3:6">
      <c r="C61" t="s">
        <v>888</v>
      </c>
      <c r="D61" t="s">
        <v>310</v>
      </c>
      <c r="E61" t="s">
        <v>501</v>
      </c>
      <c r="F61" t="s">
        <v>889</v>
      </c>
    </row>
    <row r="62" spans="3:6">
      <c r="C62" t="s">
        <v>979</v>
      </c>
      <c r="D62" t="s">
        <v>309</v>
      </c>
      <c r="E62" t="s">
        <v>501</v>
      </c>
      <c r="F62" t="s">
        <v>979</v>
      </c>
    </row>
    <row r="63" spans="3:6">
      <c r="C63" t="s">
        <v>888</v>
      </c>
      <c r="D63" t="s">
        <v>309</v>
      </c>
      <c r="E63" t="s">
        <v>501</v>
      </c>
      <c r="F63" t="s">
        <v>889</v>
      </c>
    </row>
    <row r="64" spans="3:6">
      <c r="C64" t="s">
        <v>987</v>
      </c>
      <c r="D64" t="s">
        <v>309</v>
      </c>
      <c r="E64" t="s">
        <v>501</v>
      </c>
      <c r="F64" t="s">
        <v>987</v>
      </c>
    </row>
    <row r="65" spans="3:6">
      <c r="C65" t="s">
        <v>975</v>
      </c>
      <c r="D65" t="s">
        <v>213</v>
      </c>
      <c r="E65" t="s">
        <v>501</v>
      </c>
      <c r="F65" t="s">
        <v>976</v>
      </c>
    </row>
    <row r="66" spans="3:6">
      <c r="C66" t="s">
        <v>1002</v>
      </c>
      <c r="D66" t="s">
        <v>213</v>
      </c>
      <c r="E66" t="s">
        <v>501</v>
      </c>
      <c r="F66" t="s">
        <v>978</v>
      </c>
    </row>
    <row r="67" spans="3:6">
      <c r="C67" t="s">
        <v>979</v>
      </c>
      <c r="D67" t="s">
        <v>213</v>
      </c>
      <c r="E67" t="s">
        <v>501</v>
      </c>
      <c r="F67" t="s">
        <v>979</v>
      </c>
    </row>
    <row r="68" spans="3:6">
      <c r="C68" t="s">
        <v>1003</v>
      </c>
      <c r="D68" t="s">
        <v>213</v>
      </c>
      <c r="E68" t="s">
        <v>501</v>
      </c>
      <c r="F68" t="s">
        <v>1004</v>
      </c>
    </row>
    <row r="69" spans="3:6">
      <c r="C69" t="s">
        <v>1005</v>
      </c>
      <c r="D69" t="s">
        <v>213</v>
      </c>
      <c r="E69" t="s">
        <v>501</v>
      </c>
      <c r="F69" t="s">
        <v>1006</v>
      </c>
    </row>
    <row r="70" spans="3:6">
      <c r="C70" t="s">
        <v>1007</v>
      </c>
      <c r="D70" t="s">
        <v>213</v>
      </c>
      <c r="E70" t="s">
        <v>501</v>
      </c>
      <c r="F70" t="s">
        <v>1008</v>
      </c>
    </row>
    <row r="71" spans="3:6">
      <c r="C71" t="s">
        <v>1009</v>
      </c>
      <c r="D71" t="s">
        <v>213</v>
      </c>
      <c r="E71" t="s">
        <v>501</v>
      </c>
      <c r="F71" t="s">
        <v>1010</v>
      </c>
    </row>
    <row r="72" spans="3:6">
      <c r="C72" t="s">
        <v>1011</v>
      </c>
      <c r="D72" t="s">
        <v>213</v>
      </c>
      <c r="E72" t="s">
        <v>501</v>
      </c>
      <c r="F72" t="s">
        <v>1012</v>
      </c>
    </row>
    <row r="73" spans="3:6">
      <c r="C73" t="s">
        <v>1013</v>
      </c>
      <c r="D73" t="s">
        <v>213</v>
      </c>
      <c r="E73" t="s">
        <v>501</v>
      </c>
      <c r="F73" t="s">
        <v>1014</v>
      </c>
    </row>
    <row r="74" spans="3:6">
      <c r="C74" t="s">
        <v>892</v>
      </c>
      <c r="D74" t="s">
        <v>213</v>
      </c>
      <c r="E74" t="s">
        <v>501</v>
      </c>
      <c r="F74" t="s">
        <v>893</v>
      </c>
    </row>
    <row r="75" spans="3:6">
      <c r="C75" t="s">
        <v>888</v>
      </c>
      <c r="D75" t="s">
        <v>213</v>
      </c>
      <c r="E75" t="s">
        <v>501</v>
      </c>
      <c r="F75" t="s">
        <v>889</v>
      </c>
    </row>
    <row r="76" spans="3:6">
      <c r="C76" t="s">
        <v>886</v>
      </c>
      <c r="D76" t="s">
        <v>213</v>
      </c>
      <c r="E76" t="s">
        <v>501</v>
      </c>
      <c r="F76" t="s">
        <v>886</v>
      </c>
    </row>
    <row r="77" spans="3:6">
      <c r="C77" t="s">
        <v>1002</v>
      </c>
      <c r="D77" t="s">
        <v>254</v>
      </c>
      <c r="E77" t="s">
        <v>501</v>
      </c>
      <c r="F77" t="s">
        <v>978</v>
      </c>
    </row>
    <row r="78" spans="3:6">
      <c r="C78" t="s">
        <v>888</v>
      </c>
      <c r="D78" t="s">
        <v>254</v>
      </c>
      <c r="E78" t="s">
        <v>501</v>
      </c>
      <c r="F78" t="s">
        <v>889</v>
      </c>
    </row>
    <row r="79" spans="3:6">
      <c r="C79" t="s">
        <v>1011</v>
      </c>
      <c r="D79" t="s">
        <v>254</v>
      </c>
      <c r="E79" t="s">
        <v>501</v>
      </c>
      <c r="F79" t="s">
        <v>1012</v>
      </c>
    </row>
    <row r="80" spans="3:6">
      <c r="C80" t="s">
        <v>977</v>
      </c>
      <c r="D80" t="s">
        <v>308</v>
      </c>
      <c r="E80" t="s">
        <v>501</v>
      </c>
      <c r="F80" t="s">
        <v>978</v>
      </c>
    </row>
    <row r="81" spans="3:6">
      <c r="C81" t="s">
        <v>888</v>
      </c>
      <c r="D81" t="s">
        <v>308</v>
      </c>
      <c r="E81" t="s">
        <v>501</v>
      </c>
      <c r="F81" t="s">
        <v>889</v>
      </c>
    </row>
    <row r="82" spans="3:6">
      <c r="C82" t="s">
        <v>979</v>
      </c>
      <c r="D82" t="s">
        <v>307</v>
      </c>
      <c r="E82" t="s">
        <v>501</v>
      </c>
      <c r="F82" t="s">
        <v>979</v>
      </c>
    </row>
    <row r="83" spans="3:6">
      <c r="C83" t="s">
        <v>977</v>
      </c>
      <c r="D83" t="s">
        <v>307</v>
      </c>
      <c r="E83" t="s">
        <v>501</v>
      </c>
      <c r="F83" t="s">
        <v>978</v>
      </c>
    </row>
    <row r="84" spans="3:6">
      <c r="C84" t="s">
        <v>888</v>
      </c>
      <c r="D84" t="s">
        <v>307</v>
      </c>
      <c r="E84" t="s">
        <v>501</v>
      </c>
      <c r="F84" t="s">
        <v>889</v>
      </c>
    </row>
    <row r="85" spans="3:6">
      <c r="C85" t="s">
        <v>987</v>
      </c>
      <c r="D85" t="s">
        <v>307</v>
      </c>
      <c r="E85" t="s">
        <v>501</v>
      </c>
      <c r="F85" t="s">
        <v>987</v>
      </c>
    </row>
    <row r="86" spans="3:6">
      <c r="C86" t="s">
        <v>975</v>
      </c>
      <c r="D86" t="s">
        <v>175</v>
      </c>
      <c r="E86" t="s">
        <v>501</v>
      </c>
      <c r="F86" t="s">
        <v>976</v>
      </c>
    </row>
    <row r="87" spans="3:6">
      <c r="C87" t="s">
        <v>1002</v>
      </c>
      <c r="D87" t="s">
        <v>175</v>
      </c>
      <c r="E87" t="s">
        <v>501</v>
      </c>
      <c r="F87" t="s">
        <v>978</v>
      </c>
    </row>
    <row r="88" spans="3:6">
      <c r="C88" t="s">
        <v>979</v>
      </c>
      <c r="D88" t="s">
        <v>175</v>
      </c>
      <c r="E88" t="s">
        <v>501</v>
      </c>
      <c r="F88" t="s">
        <v>979</v>
      </c>
    </row>
    <row r="89" spans="3:6">
      <c r="C89" t="s">
        <v>1042</v>
      </c>
      <c r="D89" t="s">
        <v>175</v>
      </c>
      <c r="E89" t="s">
        <v>501</v>
      </c>
      <c r="F89" t="s">
        <v>1043</v>
      </c>
    </row>
    <row r="90" spans="3:6">
      <c r="C90" t="s">
        <v>1044</v>
      </c>
      <c r="D90" t="s">
        <v>175</v>
      </c>
      <c r="E90" t="s">
        <v>501</v>
      </c>
      <c r="F90" t="s">
        <v>1045</v>
      </c>
    </row>
    <row r="91" spans="3:6">
      <c r="C91" t="s">
        <v>1046</v>
      </c>
      <c r="D91" t="s">
        <v>175</v>
      </c>
      <c r="E91" t="s">
        <v>501</v>
      </c>
      <c r="F91" t="s">
        <v>981</v>
      </c>
    </row>
    <row r="92" spans="3:6">
      <c r="C92" t="s">
        <v>987</v>
      </c>
      <c r="D92" t="s">
        <v>175</v>
      </c>
      <c r="E92" t="s">
        <v>501</v>
      </c>
      <c r="F92" t="s">
        <v>987</v>
      </c>
    </row>
    <row r="93" spans="3:6">
      <c r="C93" t="s">
        <v>1047</v>
      </c>
      <c r="D93" t="s">
        <v>175</v>
      </c>
      <c r="E93" t="s">
        <v>501</v>
      </c>
      <c r="F93" t="s">
        <v>1047</v>
      </c>
    </row>
    <row r="94" spans="3:6">
      <c r="C94" t="s">
        <v>888</v>
      </c>
      <c r="D94" t="s">
        <v>175</v>
      </c>
      <c r="E94" t="s">
        <v>501</v>
      </c>
      <c r="F94" t="s">
        <v>889</v>
      </c>
    </row>
    <row r="95" spans="3:6">
      <c r="C95" t="s">
        <v>1059</v>
      </c>
      <c r="D95" t="s">
        <v>177</v>
      </c>
      <c r="E95" t="s">
        <v>501</v>
      </c>
      <c r="F95" t="s">
        <v>1060</v>
      </c>
    </row>
    <row r="96" spans="3:6">
      <c r="C96" t="s">
        <v>1061</v>
      </c>
      <c r="D96" t="s">
        <v>177</v>
      </c>
      <c r="E96" t="s">
        <v>501</v>
      </c>
      <c r="F96" t="s">
        <v>1008</v>
      </c>
    </row>
    <row r="97" spans="3:6">
      <c r="C97" t="s">
        <v>979</v>
      </c>
      <c r="D97" t="s">
        <v>177</v>
      </c>
      <c r="E97" t="s">
        <v>501</v>
      </c>
      <c r="F97" t="s">
        <v>979</v>
      </c>
    </row>
    <row r="98" spans="3:6">
      <c r="C98" t="s">
        <v>1062</v>
      </c>
      <c r="D98" t="s">
        <v>177</v>
      </c>
      <c r="E98" t="s">
        <v>501</v>
      </c>
      <c r="F98" t="s">
        <v>1063</v>
      </c>
    </row>
    <row r="99" spans="3:6">
      <c r="C99" t="s">
        <v>982</v>
      </c>
      <c r="D99" t="s">
        <v>177</v>
      </c>
      <c r="E99" t="s">
        <v>501</v>
      </c>
      <c r="F99" t="s">
        <v>983</v>
      </c>
    </row>
    <row r="100" spans="3:6">
      <c r="C100" t="s">
        <v>888</v>
      </c>
      <c r="D100" t="s">
        <v>177</v>
      </c>
      <c r="E100" t="s">
        <v>501</v>
      </c>
      <c r="F100" t="s">
        <v>889</v>
      </c>
    </row>
    <row r="101" spans="3:6">
      <c r="C101" t="s">
        <v>1068</v>
      </c>
      <c r="D101" t="s">
        <v>194</v>
      </c>
      <c r="E101" t="s">
        <v>501</v>
      </c>
      <c r="F101" t="s">
        <v>979</v>
      </c>
    </row>
    <row r="102" spans="3:6">
      <c r="C102" t="s">
        <v>1069</v>
      </c>
      <c r="D102" t="s">
        <v>194</v>
      </c>
      <c r="E102" t="s">
        <v>501</v>
      </c>
      <c r="F102" t="s">
        <v>1070</v>
      </c>
    </row>
    <row r="103" spans="3:6">
      <c r="C103" t="s">
        <v>888</v>
      </c>
      <c r="D103" t="s">
        <v>194</v>
      </c>
      <c r="E103" t="s">
        <v>501</v>
      </c>
      <c r="F103" t="s">
        <v>889</v>
      </c>
    </row>
    <row r="104" spans="3:6">
      <c r="C104" t="s">
        <v>3678</v>
      </c>
      <c r="D104" t="s">
        <v>194</v>
      </c>
      <c r="E104" t="s">
        <v>501</v>
      </c>
      <c r="F104" t="s">
        <v>4033</v>
      </c>
    </row>
    <row r="105" spans="3:6">
      <c r="C105" t="s">
        <v>1071</v>
      </c>
      <c r="D105" t="s">
        <v>194</v>
      </c>
      <c r="E105" t="s">
        <v>501</v>
      </c>
      <c r="F105" t="s">
        <v>1072</v>
      </c>
    </row>
    <row r="106" spans="3:6">
      <c r="C106" t="s">
        <v>1013</v>
      </c>
      <c r="D106" t="s">
        <v>194</v>
      </c>
      <c r="E106" t="s">
        <v>501</v>
      </c>
      <c r="F106" t="s">
        <v>1073</v>
      </c>
    </row>
  </sheetData>
  <autoFilter ref="C3:I106"/>
  <dataValidations count="3">
    <dataValidation type="list" allowBlank="1" showInputMessage="1" showErrorMessage="1" sqref="E107:E1048576 E5:E16">
      <formula1>Grupo</formula1>
    </dataValidation>
    <dataValidation type="list" allowBlank="1" showInputMessage="1" showErrorMessage="1" sqref="D5:D16 D107:D1048576">
      <formula1>Estaciones</formula1>
    </dataValidation>
    <dataValidation type="list" allowBlank="1" showInputMessage="1" showErrorMessage="1" sqref="C5:C16 C107:C1048576">
      <formula1>Propiedades</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sheetPr codeName="Hoja10"/>
  <dimension ref="B1:H130"/>
  <sheetViews>
    <sheetView topLeftCell="A97" workbookViewId="0">
      <selection activeCell="E4" sqref="E4"/>
    </sheetView>
  </sheetViews>
  <sheetFormatPr baseColWidth="10" defaultRowHeight="15"/>
  <cols>
    <col min="2" max="2" width="4" customWidth="1"/>
    <col min="3" max="3" width="12.85546875" style="12" bestFit="1" customWidth="1"/>
    <col min="4" max="4" width="18.28515625" bestFit="1" customWidth="1"/>
    <col min="5" max="5" width="59.42578125" customWidth="1"/>
    <col min="6" max="6" width="55.7109375" customWidth="1"/>
    <col min="7" max="7" width="3.85546875" customWidth="1"/>
    <col min="8" max="8" width="16.28515625" customWidth="1"/>
    <col min="10" max="10" width="11.85546875" bestFit="1" customWidth="1"/>
  </cols>
  <sheetData>
    <row r="1" spans="2:8">
      <c r="B1" s="19" t="s">
        <v>480</v>
      </c>
    </row>
    <row r="4" spans="2:8">
      <c r="C4" s="20" t="s">
        <v>485</v>
      </c>
      <c r="D4" s="9" t="s">
        <v>65</v>
      </c>
      <c r="E4" s="9" t="s">
        <v>1302</v>
      </c>
      <c r="F4" s="9" t="s">
        <v>1303</v>
      </c>
      <c r="H4" s="9" t="s">
        <v>354</v>
      </c>
    </row>
    <row r="5" spans="2:8">
      <c r="C5" s="20" t="s">
        <v>1075</v>
      </c>
      <c r="D5" s="9" t="s">
        <v>1084</v>
      </c>
      <c r="E5" s="9" t="s">
        <v>1077</v>
      </c>
      <c r="F5" s="9" t="s">
        <v>1077</v>
      </c>
      <c r="H5" s="9"/>
    </row>
    <row r="6" spans="2:8">
      <c r="C6" s="12">
        <v>1</v>
      </c>
      <c r="D6" t="s">
        <v>195</v>
      </c>
      <c r="E6" t="s">
        <v>1312</v>
      </c>
      <c r="F6" t="s">
        <v>1304</v>
      </c>
      <c r="G6" t="s">
        <v>1100</v>
      </c>
      <c r="H6" t="s">
        <v>4140</v>
      </c>
    </row>
    <row r="7" spans="2:8">
      <c r="B7" s="8"/>
      <c r="C7" s="21">
        <f t="shared" ref="C7:C10" si="0">C6+1</f>
        <v>2</v>
      </c>
      <c r="D7" t="s">
        <v>195</v>
      </c>
      <c r="E7" t="s">
        <v>1781</v>
      </c>
      <c r="F7" t="s">
        <v>486</v>
      </c>
      <c r="G7" t="s">
        <v>1100</v>
      </c>
      <c r="H7" t="s">
        <v>4141</v>
      </c>
    </row>
    <row r="8" spans="2:8">
      <c r="B8" s="8"/>
      <c r="C8" s="21">
        <f t="shared" si="0"/>
        <v>3</v>
      </c>
      <c r="D8" t="s">
        <v>195</v>
      </c>
      <c r="E8" t="s">
        <v>1305</v>
      </c>
      <c r="G8" t="s">
        <v>1100</v>
      </c>
      <c r="H8" t="s">
        <v>1308</v>
      </c>
    </row>
    <row r="9" spans="2:8">
      <c r="C9" s="21">
        <f t="shared" si="0"/>
        <v>4</v>
      </c>
      <c r="D9" t="s">
        <v>195</v>
      </c>
      <c r="E9" t="s">
        <v>1306</v>
      </c>
      <c r="G9" t="s">
        <v>1100</v>
      </c>
      <c r="H9" t="s">
        <v>1309</v>
      </c>
    </row>
    <row r="10" spans="2:8">
      <c r="C10" s="21">
        <f t="shared" si="0"/>
        <v>5</v>
      </c>
      <c r="D10" t="s">
        <v>195</v>
      </c>
      <c r="E10" t="s">
        <v>1307</v>
      </c>
      <c r="G10" t="s">
        <v>1100</v>
      </c>
      <c r="H10" t="s">
        <v>1310</v>
      </c>
    </row>
    <row r="11" spans="2:8">
      <c r="C11" s="21">
        <f t="shared" ref="C11:C74" si="1">C10+1</f>
        <v>6</v>
      </c>
      <c r="D11" t="s">
        <v>195</v>
      </c>
      <c r="E11" t="s">
        <v>1334</v>
      </c>
      <c r="G11" t="s">
        <v>1100</v>
      </c>
      <c r="H11" t="s">
        <v>4142</v>
      </c>
    </row>
    <row r="12" spans="2:8">
      <c r="C12" s="21">
        <f t="shared" si="1"/>
        <v>7</v>
      </c>
      <c r="D12" t="s">
        <v>195</v>
      </c>
      <c r="E12" t="s">
        <v>1313</v>
      </c>
      <c r="G12" t="s">
        <v>1100</v>
      </c>
      <c r="H12" t="s">
        <v>4143</v>
      </c>
    </row>
    <row r="13" spans="2:8">
      <c r="C13" s="21">
        <f t="shared" si="1"/>
        <v>8</v>
      </c>
      <c r="D13" t="s">
        <v>320</v>
      </c>
      <c r="E13" t="s">
        <v>1314</v>
      </c>
      <c r="H13" t="s">
        <v>4144</v>
      </c>
    </row>
    <row r="14" spans="2:8">
      <c r="C14" s="21">
        <f t="shared" si="1"/>
        <v>9</v>
      </c>
      <c r="D14" t="s">
        <v>320</v>
      </c>
      <c r="E14" t="s">
        <v>4034</v>
      </c>
      <c r="G14" t="s">
        <v>1100</v>
      </c>
      <c r="H14" t="s">
        <v>4145</v>
      </c>
    </row>
    <row r="15" spans="2:8">
      <c r="C15" s="21">
        <f t="shared" si="1"/>
        <v>10</v>
      </c>
      <c r="D15" t="s">
        <v>320</v>
      </c>
      <c r="E15" t="s">
        <v>1335</v>
      </c>
      <c r="G15" t="s">
        <v>1100</v>
      </c>
      <c r="H15" t="s">
        <v>4146</v>
      </c>
    </row>
    <row r="16" spans="2:8">
      <c r="C16" s="21">
        <f t="shared" si="1"/>
        <v>11</v>
      </c>
      <c r="D16" t="s">
        <v>320</v>
      </c>
      <c r="E16" t="s">
        <v>1336</v>
      </c>
      <c r="G16" t="s">
        <v>1100</v>
      </c>
      <c r="H16" t="s">
        <v>4147</v>
      </c>
    </row>
    <row r="17" spans="3:8">
      <c r="C17" s="21">
        <f t="shared" si="1"/>
        <v>12</v>
      </c>
      <c r="D17" t="s">
        <v>319</v>
      </c>
      <c r="E17" t="s">
        <v>1315</v>
      </c>
      <c r="G17" t="s">
        <v>1100</v>
      </c>
      <c r="H17" t="s">
        <v>4148</v>
      </c>
    </row>
    <row r="18" spans="3:8">
      <c r="C18" s="21">
        <f t="shared" si="1"/>
        <v>13</v>
      </c>
      <c r="D18" t="s">
        <v>319</v>
      </c>
      <c r="E18" t="s">
        <v>1782</v>
      </c>
      <c r="H18" t="s">
        <v>4149</v>
      </c>
    </row>
    <row r="19" spans="3:8">
      <c r="C19" s="21">
        <f t="shared" si="1"/>
        <v>14</v>
      </c>
      <c r="D19" t="s">
        <v>319</v>
      </c>
      <c r="E19" t="s">
        <v>1311</v>
      </c>
      <c r="G19" t="s">
        <v>1100</v>
      </c>
      <c r="H19" t="s">
        <v>4150</v>
      </c>
    </row>
    <row r="20" spans="3:8">
      <c r="C20" s="21">
        <f t="shared" si="1"/>
        <v>15</v>
      </c>
      <c r="D20" t="s">
        <v>319</v>
      </c>
      <c r="E20" t="s">
        <v>3776</v>
      </c>
      <c r="H20" t="s">
        <v>4151</v>
      </c>
    </row>
    <row r="21" spans="3:8">
      <c r="C21" s="21">
        <f t="shared" si="1"/>
        <v>16</v>
      </c>
      <c r="D21" t="s">
        <v>318</v>
      </c>
      <c r="E21" t="s">
        <v>4035</v>
      </c>
      <c r="H21" t="s">
        <v>4152</v>
      </c>
    </row>
    <row r="22" spans="3:8">
      <c r="C22" s="21">
        <f t="shared" si="1"/>
        <v>17</v>
      </c>
      <c r="D22" t="s">
        <v>318</v>
      </c>
      <c r="E22" t="s">
        <v>1783</v>
      </c>
      <c r="H22" t="s">
        <v>4153</v>
      </c>
    </row>
    <row r="23" spans="3:8">
      <c r="C23" s="21">
        <f t="shared" si="1"/>
        <v>18</v>
      </c>
      <c r="D23" t="s">
        <v>318</v>
      </c>
      <c r="E23" t="s">
        <v>1337</v>
      </c>
      <c r="H23" t="s">
        <v>4154</v>
      </c>
    </row>
    <row r="24" spans="3:8">
      <c r="C24" s="21">
        <f t="shared" si="1"/>
        <v>19</v>
      </c>
      <c r="D24" t="s">
        <v>318</v>
      </c>
      <c r="E24" t="s">
        <v>1338</v>
      </c>
      <c r="H24" t="s">
        <v>4155</v>
      </c>
    </row>
    <row r="25" spans="3:8">
      <c r="C25" s="21">
        <f t="shared" si="1"/>
        <v>20</v>
      </c>
      <c r="D25" t="s">
        <v>318</v>
      </c>
      <c r="E25" t="s">
        <v>1316</v>
      </c>
      <c r="H25" t="s">
        <v>4156</v>
      </c>
    </row>
    <row r="26" spans="3:8">
      <c r="C26" s="21">
        <f t="shared" si="1"/>
        <v>21</v>
      </c>
      <c r="D26" t="s">
        <v>318</v>
      </c>
      <c r="E26" t="s">
        <v>4036</v>
      </c>
      <c r="H26" t="s">
        <v>4157</v>
      </c>
    </row>
    <row r="27" spans="3:8">
      <c r="C27" s="21">
        <f t="shared" si="1"/>
        <v>22</v>
      </c>
      <c r="D27" t="s">
        <v>318</v>
      </c>
      <c r="E27" t="s">
        <v>4037</v>
      </c>
      <c r="H27" t="s">
        <v>4158</v>
      </c>
    </row>
    <row r="28" spans="3:8">
      <c r="C28" s="21">
        <f t="shared" si="1"/>
        <v>23</v>
      </c>
      <c r="D28" t="s">
        <v>317</v>
      </c>
      <c r="E28" t="s">
        <v>1317</v>
      </c>
      <c r="H28" t="s">
        <v>4159</v>
      </c>
    </row>
    <row r="29" spans="3:8">
      <c r="C29" s="21">
        <f t="shared" si="1"/>
        <v>24</v>
      </c>
      <c r="D29" t="s">
        <v>317</v>
      </c>
      <c r="E29" t="s">
        <v>1784</v>
      </c>
      <c r="H29" t="s">
        <v>4160</v>
      </c>
    </row>
    <row r="30" spans="3:8">
      <c r="C30" s="21">
        <f t="shared" si="1"/>
        <v>25</v>
      </c>
      <c r="D30" t="s">
        <v>317</v>
      </c>
      <c r="E30" t="s">
        <v>1339</v>
      </c>
      <c r="H30" t="s">
        <v>4161</v>
      </c>
    </row>
    <row r="31" spans="3:8">
      <c r="C31" s="21">
        <f t="shared" si="1"/>
        <v>26</v>
      </c>
      <c r="D31" t="s">
        <v>317</v>
      </c>
      <c r="E31" t="s">
        <v>1340</v>
      </c>
      <c r="H31" t="s">
        <v>4162</v>
      </c>
    </row>
    <row r="32" spans="3:8">
      <c r="C32" s="21">
        <f t="shared" si="1"/>
        <v>27</v>
      </c>
      <c r="D32" t="s">
        <v>317</v>
      </c>
      <c r="E32" t="s">
        <v>1341</v>
      </c>
      <c r="H32" t="s">
        <v>4163</v>
      </c>
    </row>
    <row r="33" spans="3:8">
      <c r="C33" s="21">
        <f t="shared" si="1"/>
        <v>28</v>
      </c>
      <c r="D33" t="s">
        <v>317</v>
      </c>
      <c r="E33" t="s">
        <v>1342</v>
      </c>
      <c r="H33" t="s">
        <v>4164</v>
      </c>
    </row>
    <row r="34" spans="3:8">
      <c r="C34" s="21">
        <f t="shared" si="1"/>
        <v>29</v>
      </c>
      <c r="D34" t="s">
        <v>316</v>
      </c>
      <c r="E34" t="s">
        <v>1318</v>
      </c>
      <c r="H34" t="s">
        <v>4165</v>
      </c>
    </row>
    <row r="35" spans="3:8">
      <c r="C35" s="21">
        <f t="shared" si="1"/>
        <v>30</v>
      </c>
      <c r="D35" t="s">
        <v>316</v>
      </c>
      <c r="E35" t="s">
        <v>1785</v>
      </c>
      <c r="H35" t="s">
        <v>4166</v>
      </c>
    </row>
    <row r="36" spans="3:8">
      <c r="C36" s="21">
        <f t="shared" si="1"/>
        <v>31</v>
      </c>
      <c r="D36" t="s">
        <v>316</v>
      </c>
      <c r="E36" t="s">
        <v>1343</v>
      </c>
      <c r="H36" t="s">
        <v>4167</v>
      </c>
    </row>
    <row r="37" spans="3:8">
      <c r="C37" s="21">
        <f t="shared" si="1"/>
        <v>32</v>
      </c>
      <c r="D37" t="s">
        <v>316</v>
      </c>
      <c r="E37" t="s">
        <v>1344</v>
      </c>
      <c r="H37" t="s">
        <v>4168</v>
      </c>
    </row>
    <row r="38" spans="3:8">
      <c r="C38" s="21">
        <f t="shared" si="1"/>
        <v>33</v>
      </c>
      <c r="D38" t="s">
        <v>316</v>
      </c>
      <c r="E38" t="s">
        <v>1319</v>
      </c>
      <c r="H38" t="s">
        <v>4169</v>
      </c>
    </row>
    <row r="39" spans="3:8">
      <c r="C39" s="21">
        <f t="shared" si="1"/>
        <v>34</v>
      </c>
      <c r="D39" t="s">
        <v>315</v>
      </c>
      <c r="E39" t="s">
        <v>1320</v>
      </c>
      <c r="H39" t="s">
        <v>4170</v>
      </c>
    </row>
    <row r="40" spans="3:8">
      <c r="C40" s="21">
        <f t="shared" si="1"/>
        <v>35</v>
      </c>
      <c r="D40" t="s">
        <v>315</v>
      </c>
      <c r="E40" t="s">
        <v>1786</v>
      </c>
      <c r="H40" t="s">
        <v>4171</v>
      </c>
    </row>
    <row r="41" spans="3:8">
      <c r="C41" s="21">
        <f t="shared" si="1"/>
        <v>36</v>
      </c>
      <c r="D41" t="s">
        <v>315</v>
      </c>
      <c r="E41" t="s">
        <v>1345</v>
      </c>
      <c r="H41" t="s">
        <v>4172</v>
      </c>
    </row>
    <row r="42" spans="3:8">
      <c r="C42" s="21">
        <f t="shared" si="1"/>
        <v>37</v>
      </c>
      <c r="D42" t="s">
        <v>315</v>
      </c>
      <c r="E42" t="s">
        <v>1346</v>
      </c>
      <c r="H42" t="s">
        <v>4173</v>
      </c>
    </row>
    <row r="43" spans="3:8">
      <c r="C43" s="21">
        <f t="shared" si="1"/>
        <v>38</v>
      </c>
      <c r="D43" t="s">
        <v>315</v>
      </c>
      <c r="E43" t="s">
        <v>1347</v>
      </c>
      <c r="H43" t="s">
        <v>4174</v>
      </c>
    </row>
    <row r="44" spans="3:8">
      <c r="C44" s="21">
        <f t="shared" si="1"/>
        <v>39</v>
      </c>
      <c r="D44" t="s">
        <v>315</v>
      </c>
      <c r="E44" t="s">
        <v>1348</v>
      </c>
      <c r="H44" t="s">
        <v>4175</v>
      </c>
    </row>
    <row r="45" spans="3:8">
      <c r="C45" s="21">
        <f t="shared" si="1"/>
        <v>40</v>
      </c>
      <c r="D45" t="s">
        <v>315</v>
      </c>
      <c r="E45" t="s">
        <v>4038</v>
      </c>
      <c r="H45" t="s">
        <v>4176</v>
      </c>
    </row>
    <row r="46" spans="3:8">
      <c r="C46" s="21">
        <f t="shared" si="1"/>
        <v>41</v>
      </c>
      <c r="D46" t="s">
        <v>314</v>
      </c>
      <c r="E46" t="s">
        <v>1321</v>
      </c>
      <c r="H46" t="s">
        <v>4177</v>
      </c>
    </row>
    <row r="47" spans="3:8">
      <c r="C47" s="21">
        <f t="shared" si="1"/>
        <v>42</v>
      </c>
      <c r="D47" t="s">
        <v>314</v>
      </c>
      <c r="E47" t="s">
        <v>1787</v>
      </c>
      <c r="H47" t="s">
        <v>4178</v>
      </c>
    </row>
    <row r="48" spans="3:8">
      <c r="C48" s="21">
        <f t="shared" si="1"/>
        <v>43</v>
      </c>
      <c r="D48" t="s">
        <v>314</v>
      </c>
      <c r="E48" t="s">
        <v>1349</v>
      </c>
      <c r="H48" t="s">
        <v>4179</v>
      </c>
    </row>
    <row r="49" spans="3:8">
      <c r="C49" s="21">
        <f t="shared" si="1"/>
        <v>44</v>
      </c>
      <c r="D49" t="s">
        <v>314</v>
      </c>
      <c r="E49" t="s">
        <v>1350</v>
      </c>
      <c r="H49" t="s">
        <v>4180</v>
      </c>
    </row>
    <row r="50" spans="3:8">
      <c r="C50" s="21">
        <f t="shared" si="1"/>
        <v>45</v>
      </c>
      <c r="D50" t="s">
        <v>314</v>
      </c>
      <c r="E50" t="s">
        <v>1351</v>
      </c>
      <c r="H50" t="s">
        <v>4181</v>
      </c>
    </row>
    <row r="51" spans="3:8">
      <c r="C51" s="21">
        <f t="shared" si="1"/>
        <v>46</v>
      </c>
      <c r="D51" t="s">
        <v>314</v>
      </c>
      <c r="E51" t="s">
        <v>1352</v>
      </c>
      <c r="H51" t="s">
        <v>4182</v>
      </c>
    </row>
    <row r="52" spans="3:8">
      <c r="C52" s="21">
        <f t="shared" si="1"/>
        <v>47</v>
      </c>
      <c r="D52" t="s">
        <v>314</v>
      </c>
      <c r="E52" t="s">
        <v>1322</v>
      </c>
      <c r="H52" t="s">
        <v>4183</v>
      </c>
    </row>
    <row r="53" spans="3:8">
      <c r="C53" s="21">
        <f t="shared" si="1"/>
        <v>48</v>
      </c>
      <c r="D53" t="s">
        <v>313</v>
      </c>
      <c r="E53" t="s">
        <v>1323</v>
      </c>
      <c r="H53" t="s">
        <v>4184</v>
      </c>
    </row>
    <row r="54" spans="3:8">
      <c r="C54" s="21">
        <f t="shared" si="1"/>
        <v>49</v>
      </c>
      <c r="D54" t="s">
        <v>313</v>
      </c>
      <c r="E54" t="s">
        <v>4039</v>
      </c>
      <c r="H54" t="s">
        <v>4185</v>
      </c>
    </row>
    <row r="55" spans="3:8">
      <c r="C55" s="21">
        <f t="shared" si="1"/>
        <v>50</v>
      </c>
      <c r="D55" t="s">
        <v>313</v>
      </c>
      <c r="E55" t="s">
        <v>1353</v>
      </c>
      <c r="H55" t="s">
        <v>4186</v>
      </c>
    </row>
    <row r="56" spans="3:8">
      <c r="C56" s="21">
        <f t="shared" si="1"/>
        <v>51</v>
      </c>
      <c r="D56" t="s">
        <v>313</v>
      </c>
      <c r="E56" t="s">
        <v>1354</v>
      </c>
      <c r="H56" t="s">
        <v>4187</v>
      </c>
    </row>
    <row r="57" spans="3:8">
      <c r="C57" s="21">
        <f t="shared" si="1"/>
        <v>52</v>
      </c>
      <c r="D57" t="s">
        <v>313</v>
      </c>
      <c r="E57" t="s">
        <v>4040</v>
      </c>
      <c r="H57" t="s">
        <v>4188</v>
      </c>
    </row>
    <row r="58" spans="3:8">
      <c r="C58" s="21">
        <f t="shared" si="1"/>
        <v>53</v>
      </c>
      <c r="D58" t="s">
        <v>313</v>
      </c>
      <c r="E58" t="s">
        <v>4041</v>
      </c>
      <c r="H58" t="s">
        <v>4189</v>
      </c>
    </row>
    <row r="59" spans="3:8">
      <c r="C59" s="21">
        <f t="shared" si="1"/>
        <v>54</v>
      </c>
      <c r="D59" t="s">
        <v>312</v>
      </c>
      <c r="E59" t="s">
        <v>4042</v>
      </c>
      <c r="H59" t="s">
        <v>4190</v>
      </c>
    </row>
    <row r="60" spans="3:8">
      <c r="C60" s="21">
        <f t="shared" si="1"/>
        <v>55</v>
      </c>
      <c r="D60" t="s">
        <v>312</v>
      </c>
      <c r="E60" t="s">
        <v>4043</v>
      </c>
      <c r="H60" t="s">
        <v>4191</v>
      </c>
    </row>
    <row r="61" spans="3:8">
      <c r="C61" s="21">
        <f t="shared" si="1"/>
        <v>56</v>
      </c>
      <c r="D61" t="s">
        <v>312</v>
      </c>
      <c r="E61" t="s">
        <v>1355</v>
      </c>
      <c r="H61" t="s">
        <v>4192</v>
      </c>
    </row>
    <row r="62" spans="3:8">
      <c r="C62" s="21">
        <f t="shared" si="1"/>
        <v>57</v>
      </c>
      <c r="D62" t="s">
        <v>312</v>
      </c>
      <c r="E62" t="s">
        <v>1356</v>
      </c>
      <c r="H62" t="s">
        <v>4193</v>
      </c>
    </row>
    <row r="63" spans="3:8">
      <c r="C63" s="21">
        <f t="shared" si="1"/>
        <v>58</v>
      </c>
      <c r="D63" t="s">
        <v>312</v>
      </c>
      <c r="E63" t="s">
        <v>1788</v>
      </c>
      <c r="H63" t="s">
        <v>4194</v>
      </c>
    </row>
    <row r="64" spans="3:8">
      <c r="C64" s="21">
        <f t="shared" si="1"/>
        <v>59</v>
      </c>
      <c r="D64" t="s">
        <v>311</v>
      </c>
      <c r="E64" t="s">
        <v>1324</v>
      </c>
      <c r="H64" t="s">
        <v>4195</v>
      </c>
    </row>
    <row r="65" spans="3:8">
      <c r="C65" s="21">
        <f t="shared" si="1"/>
        <v>60</v>
      </c>
      <c r="D65" t="s">
        <v>311</v>
      </c>
      <c r="E65" t="s">
        <v>4044</v>
      </c>
      <c r="H65" t="s">
        <v>4196</v>
      </c>
    </row>
    <row r="66" spans="3:8">
      <c r="C66" s="21">
        <f t="shared" si="1"/>
        <v>61</v>
      </c>
      <c r="D66" t="s">
        <v>311</v>
      </c>
      <c r="E66" t="s">
        <v>1357</v>
      </c>
      <c r="H66" t="s">
        <v>4197</v>
      </c>
    </row>
    <row r="67" spans="3:8">
      <c r="C67" s="21">
        <f t="shared" si="1"/>
        <v>62</v>
      </c>
      <c r="D67" t="s">
        <v>311</v>
      </c>
      <c r="E67" t="s">
        <v>1358</v>
      </c>
      <c r="H67" t="s">
        <v>4198</v>
      </c>
    </row>
    <row r="68" spans="3:8">
      <c r="C68" s="21">
        <f t="shared" si="1"/>
        <v>63</v>
      </c>
      <c r="D68" t="s">
        <v>311</v>
      </c>
      <c r="E68" t="s">
        <v>1789</v>
      </c>
      <c r="H68" t="s">
        <v>4199</v>
      </c>
    </row>
    <row r="69" spans="3:8">
      <c r="C69" s="21">
        <f t="shared" si="1"/>
        <v>64</v>
      </c>
      <c r="D69" t="s">
        <v>176</v>
      </c>
      <c r="E69" t="s">
        <v>1325</v>
      </c>
      <c r="H69" t="s">
        <v>4200</v>
      </c>
    </row>
    <row r="70" spans="3:8">
      <c r="C70" s="21">
        <f t="shared" si="1"/>
        <v>65</v>
      </c>
      <c r="D70" t="s">
        <v>176</v>
      </c>
      <c r="E70" t="s">
        <v>4045</v>
      </c>
      <c r="H70" t="s">
        <v>4201</v>
      </c>
    </row>
    <row r="71" spans="3:8">
      <c r="C71" s="21">
        <f t="shared" si="1"/>
        <v>66</v>
      </c>
      <c r="D71" t="s">
        <v>176</v>
      </c>
      <c r="E71" t="s">
        <v>1359</v>
      </c>
      <c r="H71" t="s">
        <v>4202</v>
      </c>
    </row>
    <row r="72" spans="3:8">
      <c r="C72" s="21">
        <f t="shared" si="1"/>
        <v>67</v>
      </c>
      <c r="D72" t="s">
        <v>176</v>
      </c>
      <c r="E72" t="s">
        <v>1360</v>
      </c>
      <c r="H72" t="s">
        <v>4203</v>
      </c>
    </row>
    <row r="73" spans="3:8">
      <c r="C73" s="21">
        <f t="shared" si="1"/>
        <v>68</v>
      </c>
      <c r="D73" t="s">
        <v>176</v>
      </c>
      <c r="E73" t="s">
        <v>1361</v>
      </c>
      <c r="H73" t="s">
        <v>4204</v>
      </c>
    </row>
    <row r="74" spans="3:8">
      <c r="C74" s="21">
        <f t="shared" si="1"/>
        <v>69</v>
      </c>
      <c r="D74" t="s">
        <v>176</v>
      </c>
      <c r="E74" t="s">
        <v>1362</v>
      </c>
      <c r="H74" t="s">
        <v>4205</v>
      </c>
    </row>
    <row r="75" spans="3:8">
      <c r="C75" s="21">
        <f t="shared" ref="C75:C130" si="2">C74+1</f>
        <v>70</v>
      </c>
      <c r="D75" t="s">
        <v>310</v>
      </c>
      <c r="E75" t="s">
        <v>4046</v>
      </c>
      <c r="H75" t="s">
        <v>4206</v>
      </c>
    </row>
    <row r="76" spans="3:8">
      <c r="C76" s="21">
        <f t="shared" si="2"/>
        <v>71</v>
      </c>
      <c r="D76" t="s">
        <v>310</v>
      </c>
      <c r="E76" t="s">
        <v>4047</v>
      </c>
      <c r="H76" t="s">
        <v>4207</v>
      </c>
    </row>
    <row r="77" spans="3:8">
      <c r="C77" s="21">
        <f t="shared" si="2"/>
        <v>72</v>
      </c>
      <c r="D77" t="s">
        <v>310</v>
      </c>
      <c r="E77" t="s">
        <v>1363</v>
      </c>
      <c r="H77" t="s">
        <v>4208</v>
      </c>
    </row>
    <row r="78" spans="3:8">
      <c r="C78" s="21">
        <f t="shared" si="2"/>
        <v>73</v>
      </c>
      <c r="D78" t="s">
        <v>310</v>
      </c>
      <c r="E78" t="s">
        <v>1364</v>
      </c>
      <c r="H78" t="s">
        <v>4209</v>
      </c>
    </row>
    <row r="79" spans="3:8">
      <c r="C79" s="21">
        <f t="shared" si="2"/>
        <v>74</v>
      </c>
      <c r="D79" t="s">
        <v>309</v>
      </c>
      <c r="E79" t="s">
        <v>1326</v>
      </c>
      <c r="H79" t="s">
        <v>4210</v>
      </c>
    </row>
    <row r="80" spans="3:8">
      <c r="C80" s="21">
        <f t="shared" si="2"/>
        <v>75</v>
      </c>
      <c r="D80" t="s">
        <v>309</v>
      </c>
      <c r="E80" t="s">
        <v>4048</v>
      </c>
      <c r="H80" t="s">
        <v>4211</v>
      </c>
    </row>
    <row r="81" spans="3:8">
      <c r="C81" s="21">
        <f t="shared" si="2"/>
        <v>76</v>
      </c>
      <c r="D81" t="s">
        <v>309</v>
      </c>
      <c r="E81" t="s">
        <v>1365</v>
      </c>
      <c r="H81" t="s">
        <v>4212</v>
      </c>
    </row>
    <row r="82" spans="3:8">
      <c r="C82" s="21">
        <f t="shared" si="2"/>
        <v>77</v>
      </c>
      <c r="D82" t="s">
        <v>309</v>
      </c>
      <c r="E82" t="s">
        <v>1366</v>
      </c>
      <c r="H82" t="s">
        <v>4213</v>
      </c>
    </row>
    <row r="83" spans="3:8">
      <c r="C83" s="21">
        <f t="shared" si="2"/>
        <v>78</v>
      </c>
      <c r="D83" t="s">
        <v>309</v>
      </c>
      <c r="E83" t="s">
        <v>1367</v>
      </c>
      <c r="H83" t="s">
        <v>4214</v>
      </c>
    </row>
    <row r="84" spans="3:8">
      <c r="C84" s="21">
        <f t="shared" si="2"/>
        <v>79</v>
      </c>
      <c r="D84" t="s">
        <v>309</v>
      </c>
      <c r="E84" t="s">
        <v>1368</v>
      </c>
      <c r="H84" t="s">
        <v>4215</v>
      </c>
    </row>
    <row r="85" spans="3:8">
      <c r="C85" s="21">
        <f t="shared" si="2"/>
        <v>80</v>
      </c>
      <c r="D85" t="s">
        <v>213</v>
      </c>
      <c r="E85" t="s">
        <v>1327</v>
      </c>
      <c r="H85" t="s">
        <v>4216</v>
      </c>
    </row>
    <row r="86" spans="3:8">
      <c r="C86" s="21">
        <f t="shared" si="2"/>
        <v>81</v>
      </c>
      <c r="D86" t="s">
        <v>213</v>
      </c>
      <c r="E86" t="s">
        <v>4049</v>
      </c>
      <c r="H86" t="s">
        <v>4217</v>
      </c>
    </row>
    <row r="87" spans="3:8">
      <c r="C87" s="21">
        <f t="shared" si="2"/>
        <v>82</v>
      </c>
      <c r="D87" t="s">
        <v>213</v>
      </c>
      <c r="E87" t="s">
        <v>1369</v>
      </c>
      <c r="H87" t="s">
        <v>4218</v>
      </c>
    </row>
    <row r="88" spans="3:8">
      <c r="C88" s="21">
        <f t="shared" si="2"/>
        <v>83</v>
      </c>
      <c r="D88" t="s">
        <v>213</v>
      </c>
      <c r="E88" t="s">
        <v>1370</v>
      </c>
      <c r="H88" t="s">
        <v>4219</v>
      </c>
    </row>
    <row r="89" spans="3:8">
      <c r="C89" s="21">
        <f t="shared" si="2"/>
        <v>84</v>
      </c>
      <c r="D89" t="s">
        <v>213</v>
      </c>
      <c r="E89" t="s">
        <v>1371</v>
      </c>
      <c r="H89" t="s">
        <v>4220</v>
      </c>
    </row>
    <row r="90" spans="3:8">
      <c r="C90" s="21">
        <f t="shared" si="2"/>
        <v>85</v>
      </c>
      <c r="D90" t="s">
        <v>254</v>
      </c>
      <c r="E90" t="s">
        <v>1328</v>
      </c>
      <c r="H90" t="s">
        <v>4221</v>
      </c>
    </row>
    <row r="91" spans="3:8">
      <c r="C91" s="21">
        <f t="shared" si="2"/>
        <v>86</v>
      </c>
      <c r="D91" t="s">
        <v>254</v>
      </c>
      <c r="E91" t="s">
        <v>4050</v>
      </c>
      <c r="H91" t="s">
        <v>4222</v>
      </c>
    </row>
    <row r="92" spans="3:8">
      <c r="C92" s="21">
        <f t="shared" si="2"/>
        <v>87</v>
      </c>
      <c r="D92" t="s">
        <v>254</v>
      </c>
      <c r="E92" t="s">
        <v>1372</v>
      </c>
      <c r="H92" t="s">
        <v>4223</v>
      </c>
    </row>
    <row r="93" spans="3:8">
      <c r="C93" s="21">
        <f t="shared" si="2"/>
        <v>88</v>
      </c>
      <c r="D93" t="s">
        <v>254</v>
      </c>
      <c r="E93" t="s">
        <v>1373</v>
      </c>
      <c r="H93" t="s">
        <v>4224</v>
      </c>
    </row>
    <row r="94" spans="3:8">
      <c r="C94" s="21">
        <f t="shared" si="2"/>
        <v>89</v>
      </c>
      <c r="D94" t="s">
        <v>254</v>
      </c>
      <c r="E94" t="s">
        <v>1374</v>
      </c>
      <c r="H94" t="s">
        <v>4225</v>
      </c>
    </row>
    <row r="95" spans="3:8">
      <c r="C95" s="21">
        <f t="shared" si="2"/>
        <v>90</v>
      </c>
      <c r="D95" t="s">
        <v>254</v>
      </c>
      <c r="E95" t="s">
        <v>1375</v>
      </c>
      <c r="H95" t="s">
        <v>4226</v>
      </c>
    </row>
    <row r="96" spans="3:8">
      <c r="C96" s="21">
        <f t="shared" si="2"/>
        <v>91</v>
      </c>
      <c r="D96" t="s">
        <v>308</v>
      </c>
      <c r="E96" t="s">
        <v>4051</v>
      </c>
      <c r="H96" t="s">
        <v>4227</v>
      </c>
    </row>
    <row r="97" spans="3:8">
      <c r="C97" s="21">
        <f t="shared" si="2"/>
        <v>92</v>
      </c>
      <c r="D97" t="s">
        <v>308</v>
      </c>
      <c r="E97" t="s">
        <v>4052</v>
      </c>
      <c r="H97" t="s">
        <v>4228</v>
      </c>
    </row>
    <row r="98" spans="3:8">
      <c r="C98" s="21">
        <f t="shared" si="2"/>
        <v>93</v>
      </c>
      <c r="D98" t="s">
        <v>308</v>
      </c>
      <c r="E98" t="s">
        <v>1376</v>
      </c>
      <c r="H98" t="s">
        <v>4229</v>
      </c>
    </row>
    <row r="99" spans="3:8">
      <c r="C99" s="21">
        <f t="shared" si="2"/>
        <v>94</v>
      </c>
      <c r="D99" t="s">
        <v>308</v>
      </c>
      <c r="E99" t="s">
        <v>1376</v>
      </c>
      <c r="H99" t="s">
        <v>4230</v>
      </c>
    </row>
    <row r="100" spans="3:8">
      <c r="C100" s="21">
        <f t="shared" si="2"/>
        <v>95</v>
      </c>
      <c r="D100" t="s">
        <v>308</v>
      </c>
      <c r="E100" t="s">
        <v>1377</v>
      </c>
      <c r="H100" t="s">
        <v>4231</v>
      </c>
    </row>
    <row r="101" spans="3:8">
      <c r="C101" s="21">
        <f t="shared" si="2"/>
        <v>96</v>
      </c>
      <c r="D101" t="s">
        <v>308</v>
      </c>
      <c r="E101" t="s">
        <v>1378</v>
      </c>
      <c r="H101" t="s">
        <v>4232</v>
      </c>
    </row>
    <row r="102" spans="3:8">
      <c r="C102" s="21">
        <f t="shared" si="2"/>
        <v>97</v>
      </c>
      <c r="D102" t="s">
        <v>307</v>
      </c>
      <c r="E102" t="s">
        <v>1329</v>
      </c>
      <c r="H102" t="s">
        <v>4233</v>
      </c>
    </row>
    <row r="103" spans="3:8">
      <c r="C103" s="21">
        <f t="shared" si="2"/>
        <v>98</v>
      </c>
      <c r="D103" t="s">
        <v>307</v>
      </c>
      <c r="E103" t="s">
        <v>4053</v>
      </c>
      <c r="H103" t="s">
        <v>4234</v>
      </c>
    </row>
    <row r="104" spans="3:8">
      <c r="C104" s="21">
        <f t="shared" si="2"/>
        <v>99</v>
      </c>
      <c r="D104" t="s">
        <v>307</v>
      </c>
      <c r="E104" t="s">
        <v>1379</v>
      </c>
      <c r="H104" t="s">
        <v>4235</v>
      </c>
    </row>
    <row r="105" spans="3:8">
      <c r="C105" s="21">
        <f t="shared" si="2"/>
        <v>100</v>
      </c>
      <c r="D105" t="s">
        <v>307</v>
      </c>
      <c r="E105" t="s">
        <v>1380</v>
      </c>
      <c r="H105" t="s">
        <v>4236</v>
      </c>
    </row>
    <row r="106" spans="3:8">
      <c r="C106" s="21">
        <f t="shared" si="2"/>
        <v>101</v>
      </c>
      <c r="D106" t="s">
        <v>307</v>
      </c>
      <c r="E106" t="s">
        <v>1381</v>
      </c>
      <c r="H106" t="s">
        <v>4237</v>
      </c>
    </row>
    <row r="107" spans="3:8">
      <c r="C107" s="21">
        <f t="shared" si="2"/>
        <v>102</v>
      </c>
      <c r="D107" t="s">
        <v>307</v>
      </c>
      <c r="E107" t="s">
        <v>1382</v>
      </c>
      <c r="H107" t="s">
        <v>4238</v>
      </c>
    </row>
    <row r="108" spans="3:8">
      <c r="C108" s="21">
        <f t="shared" si="2"/>
        <v>103</v>
      </c>
      <c r="D108" t="s">
        <v>175</v>
      </c>
      <c r="E108" t="s">
        <v>1330</v>
      </c>
      <c r="H108" t="s">
        <v>4239</v>
      </c>
    </row>
    <row r="109" spans="3:8">
      <c r="C109" s="21">
        <f t="shared" si="2"/>
        <v>104</v>
      </c>
      <c r="D109" t="s">
        <v>175</v>
      </c>
      <c r="E109" t="s">
        <v>4054</v>
      </c>
      <c r="H109" t="s">
        <v>4240</v>
      </c>
    </row>
    <row r="110" spans="3:8">
      <c r="C110" s="21">
        <f t="shared" si="2"/>
        <v>105</v>
      </c>
      <c r="D110" t="s">
        <v>175</v>
      </c>
      <c r="E110" t="s">
        <v>1383</v>
      </c>
      <c r="H110" t="s">
        <v>4241</v>
      </c>
    </row>
    <row r="111" spans="3:8">
      <c r="C111" s="21">
        <f t="shared" si="2"/>
        <v>106</v>
      </c>
      <c r="D111" t="s">
        <v>175</v>
      </c>
      <c r="E111" t="s">
        <v>1384</v>
      </c>
      <c r="H111" t="s">
        <v>4242</v>
      </c>
    </row>
    <row r="112" spans="3:8">
      <c r="C112" s="21">
        <f t="shared" si="2"/>
        <v>107</v>
      </c>
      <c r="D112" t="s">
        <v>175</v>
      </c>
      <c r="E112" t="s">
        <v>1385</v>
      </c>
      <c r="H112" t="s">
        <v>4243</v>
      </c>
    </row>
    <row r="113" spans="3:8">
      <c r="C113" s="21">
        <f t="shared" si="2"/>
        <v>108</v>
      </c>
      <c r="D113" t="s">
        <v>175</v>
      </c>
      <c r="E113" t="s">
        <v>1386</v>
      </c>
      <c r="H113" t="s">
        <v>4244</v>
      </c>
    </row>
    <row r="114" spans="3:8">
      <c r="C114" s="21">
        <f t="shared" si="2"/>
        <v>109</v>
      </c>
      <c r="D114" t="s">
        <v>175</v>
      </c>
      <c r="E114" t="s">
        <v>1387</v>
      </c>
      <c r="H114" t="s">
        <v>4245</v>
      </c>
    </row>
    <row r="115" spans="3:8">
      <c r="C115" s="21">
        <f t="shared" si="2"/>
        <v>110</v>
      </c>
      <c r="D115" t="s">
        <v>175</v>
      </c>
      <c r="E115" t="s">
        <v>1388</v>
      </c>
      <c r="H115" t="s">
        <v>4246</v>
      </c>
    </row>
    <row r="116" spans="3:8">
      <c r="C116" s="21">
        <f t="shared" si="2"/>
        <v>111</v>
      </c>
      <c r="D116" t="s">
        <v>177</v>
      </c>
      <c r="E116" t="s">
        <v>1331</v>
      </c>
      <c r="H116" t="s">
        <v>4247</v>
      </c>
    </row>
    <row r="117" spans="3:8">
      <c r="C117" s="21">
        <f t="shared" si="2"/>
        <v>112</v>
      </c>
      <c r="D117" t="s">
        <v>177</v>
      </c>
      <c r="E117" t="s">
        <v>4055</v>
      </c>
      <c r="H117" t="s">
        <v>4248</v>
      </c>
    </row>
    <row r="118" spans="3:8">
      <c r="C118" s="21">
        <f t="shared" si="2"/>
        <v>113</v>
      </c>
      <c r="D118" t="s">
        <v>177</v>
      </c>
      <c r="E118" t="s">
        <v>1389</v>
      </c>
      <c r="H118" t="s">
        <v>4249</v>
      </c>
    </row>
    <row r="119" spans="3:8">
      <c r="C119" s="21">
        <f t="shared" si="2"/>
        <v>114</v>
      </c>
      <c r="D119" t="s">
        <v>177</v>
      </c>
      <c r="E119" t="s">
        <v>1390</v>
      </c>
      <c r="H119" t="s">
        <v>4250</v>
      </c>
    </row>
    <row r="120" spans="3:8">
      <c r="C120" s="21">
        <f t="shared" si="2"/>
        <v>115</v>
      </c>
      <c r="D120" t="s">
        <v>177</v>
      </c>
      <c r="E120" t="s">
        <v>1391</v>
      </c>
      <c r="H120" t="s">
        <v>4251</v>
      </c>
    </row>
    <row r="121" spans="3:8">
      <c r="C121" s="21">
        <f t="shared" si="2"/>
        <v>116</v>
      </c>
      <c r="D121" t="s">
        <v>177</v>
      </c>
      <c r="E121" t="s">
        <v>1392</v>
      </c>
      <c r="H121" t="s">
        <v>4252</v>
      </c>
    </row>
    <row r="122" spans="3:8">
      <c r="C122" s="21">
        <f t="shared" si="2"/>
        <v>117</v>
      </c>
      <c r="D122" t="s">
        <v>177</v>
      </c>
      <c r="E122" t="s">
        <v>1393</v>
      </c>
      <c r="H122" t="s">
        <v>4253</v>
      </c>
    </row>
    <row r="123" spans="3:8">
      <c r="C123" s="21">
        <f t="shared" si="2"/>
        <v>118</v>
      </c>
      <c r="D123" t="s">
        <v>177</v>
      </c>
      <c r="E123" t="s">
        <v>1394</v>
      </c>
      <c r="H123" t="s">
        <v>4254</v>
      </c>
    </row>
    <row r="124" spans="3:8">
      <c r="C124" s="21">
        <f t="shared" si="2"/>
        <v>119</v>
      </c>
      <c r="D124" t="s">
        <v>177</v>
      </c>
      <c r="E124" t="s">
        <v>1790</v>
      </c>
      <c r="H124" t="s">
        <v>4255</v>
      </c>
    </row>
    <row r="125" spans="3:8">
      <c r="C125" s="21">
        <f t="shared" si="2"/>
        <v>120</v>
      </c>
      <c r="D125" t="s">
        <v>194</v>
      </c>
      <c r="E125" t="s">
        <v>1332</v>
      </c>
      <c r="H125" t="s">
        <v>4256</v>
      </c>
    </row>
    <row r="126" spans="3:8">
      <c r="C126" s="21">
        <f t="shared" si="2"/>
        <v>121</v>
      </c>
      <c r="D126" t="s">
        <v>194</v>
      </c>
      <c r="E126" t="s">
        <v>4056</v>
      </c>
      <c r="H126" t="s">
        <v>4257</v>
      </c>
    </row>
    <row r="127" spans="3:8">
      <c r="C127" s="21">
        <f t="shared" si="2"/>
        <v>122</v>
      </c>
      <c r="D127" t="s">
        <v>194</v>
      </c>
      <c r="E127" t="s">
        <v>1395</v>
      </c>
      <c r="H127" t="s">
        <v>4258</v>
      </c>
    </row>
    <row r="128" spans="3:8">
      <c r="C128" s="21">
        <f t="shared" si="2"/>
        <v>123</v>
      </c>
      <c r="D128" t="s">
        <v>194</v>
      </c>
      <c r="E128" t="s">
        <v>1396</v>
      </c>
      <c r="H128" t="s">
        <v>4259</v>
      </c>
    </row>
    <row r="129" spans="3:8">
      <c r="C129" s="21">
        <f t="shared" si="2"/>
        <v>124</v>
      </c>
      <c r="D129" t="s">
        <v>194</v>
      </c>
      <c r="E129" t="s">
        <v>1397</v>
      </c>
      <c r="H129" t="s">
        <v>4260</v>
      </c>
    </row>
    <row r="130" spans="3:8">
      <c r="C130" s="21">
        <f t="shared" si="2"/>
        <v>125</v>
      </c>
      <c r="D130" t="s">
        <v>194</v>
      </c>
      <c r="E130" t="s">
        <v>1398</v>
      </c>
      <c r="H130" t="s">
        <v>4261</v>
      </c>
    </row>
  </sheetData>
  <dataValidations count="1">
    <dataValidation type="list" allowBlank="1" showInputMessage="1" showErrorMessage="1" sqref="D131:D1048576">
      <formula1>Estaciones</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sheetPr codeName="Hoja15"/>
  <dimension ref="B1:M432"/>
  <sheetViews>
    <sheetView topLeftCell="A211" workbookViewId="0">
      <selection activeCell="G56" sqref="G56"/>
    </sheetView>
  </sheetViews>
  <sheetFormatPr baseColWidth="10" defaultRowHeight="15"/>
  <cols>
    <col min="1" max="1" width="3" customWidth="1"/>
    <col min="2" max="2" width="4.42578125" bestFit="1" customWidth="1"/>
    <col min="3" max="3" width="20" bestFit="1" customWidth="1"/>
    <col min="4" max="4" width="21.28515625" bestFit="1" customWidth="1"/>
    <col min="5" max="5" width="11" bestFit="1" customWidth="1"/>
    <col min="6" max="6" width="22.42578125" bestFit="1" customWidth="1"/>
    <col min="7" max="7" width="36.5703125" bestFit="1" customWidth="1"/>
    <col min="8" max="8" width="100.140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235</v>
      </c>
      <c r="C3" s="33" t="s">
        <v>2</v>
      </c>
      <c r="D3" s="34" t="s">
        <v>1</v>
      </c>
      <c r="E3" s="34" t="s">
        <v>862</v>
      </c>
      <c r="F3" s="34" t="s">
        <v>863</v>
      </c>
      <c r="G3" s="34" t="s">
        <v>864</v>
      </c>
      <c r="H3" s="35" t="s">
        <v>358</v>
      </c>
    </row>
    <row r="4" spans="2:9" s="25" customFormat="1" ht="9" customHeight="1" thickBot="1">
      <c r="B4" s="46"/>
      <c r="C4" s="37"/>
      <c r="D4" s="37"/>
      <c r="E4" s="37"/>
      <c r="F4" s="37"/>
      <c r="G4" s="38"/>
      <c r="H4" s="39"/>
    </row>
    <row r="5" spans="2:9" s="25" customFormat="1" ht="16.5" thickBot="1">
      <c r="B5" s="40">
        <v>1</v>
      </c>
      <c r="C5" s="27" t="s">
        <v>385</v>
      </c>
      <c r="D5" s="29" t="s">
        <v>186</v>
      </c>
      <c r="E5" s="27" t="s">
        <v>865</v>
      </c>
      <c r="F5" s="27" t="s">
        <v>866</v>
      </c>
      <c r="G5" s="26"/>
      <c r="H5" s="87" t="s">
        <v>3777</v>
      </c>
    </row>
    <row r="6" spans="2:9" s="25" customFormat="1" ht="16.5" thickBot="1">
      <c r="B6" s="40">
        <f t="shared" ref="B6:B111" si="0">B5+1</f>
        <v>2</v>
      </c>
      <c r="C6" s="27" t="s">
        <v>385</v>
      </c>
      <c r="D6" s="29" t="s">
        <v>186</v>
      </c>
      <c r="E6" s="27" t="s">
        <v>865</v>
      </c>
      <c r="F6" s="27" t="s">
        <v>1728</v>
      </c>
      <c r="G6" s="26"/>
      <c r="H6" s="88" t="s">
        <v>3778</v>
      </c>
      <c r="I6" s="50" t="s">
        <v>1792</v>
      </c>
    </row>
    <row r="7" spans="2:9" s="25" customFormat="1" ht="16.5" thickBot="1">
      <c r="B7" s="40">
        <f t="shared" si="0"/>
        <v>3</v>
      </c>
      <c r="C7" s="27" t="s">
        <v>385</v>
      </c>
      <c r="D7" s="29" t="s">
        <v>186</v>
      </c>
      <c r="E7" s="27" t="s">
        <v>865</v>
      </c>
      <c r="F7" s="27" t="s">
        <v>1333</v>
      </c>
      <c r="G7" s="27" t="s">
        <v>870</v>
      </c>
      <c r="H7" s="89" t="s">
        <v>1793</v>
      </c>
    </row>
    <row r="8" spans="2:9" s="25" customFormat="1" ht="16.5" thickBot="1">
      <c r="B8" s="40">
        <f t="shared" si="0"/>
        <v>4</v>
      </c>
      <c r="C8" s="27" t="s">
        <v>385</v>
      </c>
      <c r="D8" s="29" t="s">
        <v>186</v>
      </c>
      <c r="E8" s="27" t="s">
        <v>865</v>
      </c>
      <c r="F8" s="27" t="s">
        <v>1333</v>
      </c>
      <c r="G8" s="27" t="s">
        <v>874</v>
      </c>
      <c r="H8" s="89" t="s">
        <v>1794</v>
      </c>
    </row>
    <row r="9" spans="2:9" s="25" customFormat="1" ht="48" thickBot="1">
      <c r="B9" s="40">
        <f t="shared" si="0"/>
        <v>5</v>
      </c>
      <c r="C9" s="27" t="s">
        <v>385</v>
      </c>
      <c r="D9" s="52" t="s">
        <v>186</v>
      </c>
      <c r="E9" s="49" t="s">
        <v>880</v>
      </c>
      <c r="F9" s="49" t="s">
        <v>1765</v>
      </c>
      <c r="G9" s="49" t="s">
        <v>1795</v>
      </c>
      <c r="H9" s="90" t="s">
        <v>3779</v>
      </c>
    </row>
    <row r="10" spans="2:9" s="25" customFormat="1" ht="9" customHeight="1" thickBot="1">
      <c r="B10" s="53">
        <f t="shared" si="0"/>
        <v>6</v>
      </c>
      <c r="C10" s="54"/>
      <c r="D10" s="54"/>
      <c r="E10" s="54"/>
      <c r="F10" s="54"/>
      <c r="G10" s="54"/>
      <c r="H10" s="91"/>
    </row>
    <row r="11" spans="2:9" s="25" customFormat="1" ht="16.5" thickBot="1">
      <c r="B11" s="59">
        <f t="shared" si="0"/>
        <v>7</v>
      </c>
      <c r="C11" s="60" t="s">
        <v>385</v>
      </c>
      <c r="D11" s="61" t="s">
        <v>169</v>
      </c>
      <c r="E11" s="60" t="s">
        <v>865</v>
      </c>
      <c r="F11" s="60" t="s">
        <v>866</v>
      </c>
      <c r="G11" s="62"/>
      <c r="H11" s="87" t="s">
        <v>1797</v>
      </c>
    </row>
    <row r="12" spans="2:9" s="25" customFormat="1" ht="16.5" thickBot="1">
      <c r="B12" s="40">
        <f t="shared" si="0"/>
        <v>8</v>
      </c>
      <c r="C12" s="27" t="s">
        <v>385</v>
      </c>
      <c r="D12" s="29" t="s">
        <v>169</v>
      </c>
      <c r="E12" s="27" t="s">
        <v>865</v>
      </c>
      <c r="F12" s="27" t="s">
        <v>1728</v>
      </c>
      <c r="G12" s="26"/>
      <c r="H12" s="88" t="s">
        <v>3780</v>
      </c>
      <c r="I12" s="50" t="s">
        <v>1796</v>
      </c>
    </row>
    <row r="13" spans="2:9" s="25" customFormat="1" ht="16.5" thickBot="1">
      <c r="B13" s="40">
        <f t="shared" si="0"/>
        <v>9</v>
      </c>
      <c r="C13" s="27" t="s">
        <v>385</v>
      </c>
      <c r="D13" s="29" t="s">
        <v>169</v>
      </c>
      <c r="E13" s="27" t="s">
        <v>865</v>
      </c>
      <c r="F13" s="27" t="s">
        <v>1333</v>
      </c>
      <c r="G13" s="27" t="s">
        <v>1802</v>
      </c>
      <c r="H13" s="88" t="s">
        <v>1798</v>
      </c>
    </row>
    <row r="14" spans="2:9" s="25" customFormat="1" ht="16.5" thickBot="1">
      <c r="B14" s="40">
        <f t="shared" si="0"/>
        <v>10</v>
      </c>
      <c r="C14" s="27" t="s">
        <v>385</v>
      </c>
      <c r="D14" s="29" t="s">
        <v>169</v>
      </c>
      <c r="E14" s="27" t="s">
        <v>865</v>
      </c>
      <c r="F14" s="27" t="s">
        <v>1333</v>
      </c>
      <c r="G14" s="27" t="s">
        <v>1803</v>
      </c>
      <c r="H14" s="88" t="s">
        <v>1799</v>
      </c>
    </row>
    <row r="15" spans="2:9" s="25" customFormat="1" ht="16.5" thickBot="1">
      <c r="B15" s="40">
        <f t="shared" si="0"/>
        <v>11</v>
      </c>
      <c r="C15" s="27" t="s">
        <v>385</v>
      </c>
      <c r="D15" s="29" t="s">
        <v>169</v>
      </c>
      <c r="E15" s="27" t="s">
        <v>865</v>
      </c>
      <c r="F15" s="27" t="s">
        <v>1333</v>
      </c>
      <c r="G15" s="27" t="s">
        <v>1804</v>
      </c>
      <c r="H15" s="88" t="s">
        <v>1800</v>
      </c>
    </row>
    <row r="16" spans="2:9" s="25" customFormat="1" ht="16.5" thickBot="1">
      <c r="B16" s="40">
        <f t="shared" si="0"/>
        <v>12</v>
      </c>
      <c r="C16" s="27" t="s">
        <v>385</v>
      </c>
      <c r="D16" s="29" t="s">
        <v>169</v>
      </c>
      <c r="E16" s="27" t="s">
        <v>865</v>
      </c>
      <c r="F16" s="27" t="s">
        <v>1333</v>
      </c>
      <c r="G16" s="27" t="s">
        <v>1805</v>
      </c>
      <c r="H16" s="88" t="s">
        <v>1801</v>
      </c>
    </row>
    <row r="17" spans="2:9" s="25" customFormat="1" ht="16.5" thickBot="1">
      <c r="B17" s="40">
        <f t="shared" si="0"/>
        <v>13</v>
      </c>
      <c r="C17" s="27" t="s">
        <v>385</v>
      </c>
      <c r="D17" s="29" t="s">
        <v>169</v>
      </c>
      <c r="E17" s="27" t="s">
        <v>865</v>
      </c>
      <c r="F17" s="27" t="s">
        <v>1333</v>
      </c>
      <c r="G17" s="27" t="s">
        <v>1807</v>
      </c>
      <c r="H17" s="88" t="s">
        <v>1806</v>
      </c>
    </row>
    <row r="18" spans="2:9" s="25" customFormat="1" ht="16.5" thickBot="1">
      <c r="B18" s="40">
        <f t="shared" si="0"/>
        <v>14</v>
      </c>
      <c r="C18" s="27" t="s">
        <v>385</v>
      </c>
      <c r="D18" s="29" t="s">
        <v>169</v>
      </c>
      <c r="E18" s="27" t="s">
        <v>865</v>
      </c>
      <c r="F18" s="27" t="s">
        <v>1333</v>
      </c>
      <c r="G18" s="27" t="s">
        <v>1809</v>
      </c>
      <c r="H18" s="88" t="s">
        <v>1808</v>
      </c>
    </row>
    <row r="19" spans="2:9" s="25" customFormat="1" ht="16.5" thickBot="1">
      <c r="B19" s="40">
        <f t="shared" si="0"/>
        <v>15</v>
      </c>
      <c r="C19" s="27" t="s">
        <v>385</v>
      </c>
      <c r="D19" s="29" t="s">
        <v>169</v>
      </c>
      <c r="E19" s="27" t="s">
        <v>865</v>
      </c>
      <c r="F19" s="27" t="s">
        <v>1333</v>
      </c>
      <c r="G19" s="27" t="s">
        <v>1811</v>
      </c>
      <c r="H19" s="88" t="s">
        <v>1810</v>
      </c>
    </row>
    <row r="20" spans="2:9" s="25" customFormat="1" ht="16.5" thickBot="1">
      <c r="B20" s="40">
        <f t="shared" si="0"/>
        <v>16</v>
      </c>
      <c r="C20" s="27" t="s">
        <v>385</v>
      </c>
      <c r="D20" s="29" t="s">
        <v>169</v>
      </c>
      <c r="E20" s="27" t="s">
        <v>865</v>
      </c>
      <c r="F20" s="27" t="s">
        <v>1333</v>
      </c>
      <c r="G20" s="27" t="s">
        <v>1813</v>
      </c>
      <c r="H20" s="88" t="s">
        <v>1812</v>
      </c>
    </row>
    <row r="21" spans="2:9" s="25" customFormat="1" ht="16.5" thickBot="1">
      <c r="B21" s="40">
        <f t="shared" si="0"/>
        <v>17</v>
      </c>
      <c r="C21" s="27" t="s">
        <v>385</v>
      </c>
      <c r="D21" s="29" t="s">
        <v>169</v>
      </c>
      <c r="E21" s="27" t="s">
        <v>865</v>
      </c>
      <c r="F21" s="27"/>
      <c r="G21" s="27" t="s">
        <v>1815</v>
      </c>
      <c r="H21" s="92" t="s">
        <v>1824</v>
      </c>
    </row>
    <row r="22" spans="2:9" s="25" customFormat="1" ht="16.5" thickBot="1">
      <c r="B22" s="40">
        <f t="shared" si="0"/>
        <v>18</v>
      </c>
      <c r="C22" s="27" t="s">
        <v>385</v>
      </c>
      <c r="D22" s="29" t="s">
        <v>169</v>
      </c>
      <c r="E22" s="27" t="s">
        <v>865</v>
      </c>
      <c r="F22" s="27"/>
      <c r="G22" s="27" t="s">
        <v>1816</v>
      </c>
      <c r="H22" s="92" t="s">
        <v>1823</v>
      </c>
    </row>
    <row r="23" spans="2:9" s="25" customFormat="1" ht="16.5" thickBot="1">
      <c r="B23" s="40">
        <f t="shared" si="0"/>
        <v>19</v>
      </c>
      <c r="C23" s="27" t="s">
        <v>385</v>
      </c>
      <c r="D23" s="29" t="s">
        <v>169</v>
      </c>
      <c r="E23" s="27" t="s">
        <v>865</v>
      </c>
      <c r="F23" s="27"/>
      <c r="G23" s="27" t="s">
        <v>1817</v>
      </c>
      <c r="H23" s="92" t="s">
        <v>1825</v>
      </c>
    </row>
    <row r="24" spans="2:9" s="25" customFormat="1" ht="16.5" thickBot="1">
      <c r="B24" s="40">
        <f t="shared" si="0"/>
        <v>20</v>
      </c>
      <c r="C24" s="27" t="s">
        <v>385</v>
      </c>
      <c r="D24" s="29" t="s">
        <v>169</v>
      </c>
      <c r="E24" s="27" t="s">
        <v>865</v>
      </c>
      <c r="F24" s="27"/>
      <c r="G24" s="27" t="s">
        <v>1818</v>
      </c>
      <c r="H24" s="92" t="s">
        <v>3781</v>
      </c>
    </row>
    <row r="25" spans="2:9" s="25" customFormat="1" ht="16.5" thickBot="1">
      <c r="B25" s="40">
        <f t="shared" si="0"/>
        <v>21</v>
      </c>
      <c r="C25" s="27" t="s">
        <v>385</v>
      </c>
      <c r="D25" s="71" t="s">
        <v>169</v>
      </c>
      <c r="E25" s="27" t="s">
        <v>865</v>
      </c>
      <c r="F25" s="27"/>
      <c r="G25" s="27" t="s">
        <v>1820</v>
      </c>
      <c r="H25" s="93" t="s">
        <v>1819</v>
      </c>
    </row>
    <row r="26" spans="2:9" s="25" customFormat="1" ht="16.5" thickBot="1">
      <c r="B26" s="64">
        <f t="shared" si="0"/>
        <v>22</v>
      </c>
      <c r="C26" s="65" t="s">
        <v>385</v>
      </c>
      <c r="D26" s="66" t="s">
        <v>169</v>
      </c>
      <c r="E26" s="27" t="s">
        <v>865</v>
      </c>
      <c r="F26" s="65"/>
      <c r="G26" s="65" t="s">
        <v>1821</v>
      </c>
      <c r="H26" s="92" t="s">
        <v>3782</v>
      </c>
    </row>
    <row r="27" spans="2:9" s="25" customFormat="1" ht="9" customHeight="1" thickBot="1">
      <c r="B27" s="56">
        <f t="shared" si="0"/>
        <v>23</v>
      </c>
      <c r="C27" s="57"/>
      <c r="D27" s="57"/>
      <c r="E27" s="57"/>
      <c r="F27" s="57"/>
      <c r="G27" s="57"/>
      <c r="H27" s="94"/>
    </row>
    <row r="28" spans="2:9" s="25" customFormat="1" ht="9" customHeight="1" thickBot="1">
      <c r="B28" s="23">
        <f t="shared" si="0"/>
        <v>24</v>
      </c>
      <c r="C28" s="37"/>
      <c r="D28" s="37"/>
      <c r="E28" s="37"/>
      <c r="F28" s="37"/>
      <c r="G28" s="38"/>
      <c r="H28" s="94"/>
    </row>
    <row r="29" spans="2:9" s="25" customFormat="1" ht="16.5" thickBot="1">
      <c r="B29" s="40">
        <f t="shared" si="0"/>
        <v>25</v>
      </c>
      <c r="C29" s="27" t="s">
        <v>385</v>
      </c>
      <c r="D29" s="29" t="s">
        <v>202</v>
      </c>
      <c r="E29" s="27" t="s">
        <v>865</v>
      </c>
      <c r="F29" s="27" t="s">
        <v>866</v>
      </c>
      <c r="G29" s="26"/>
      <c r="H29" s="88" t="s">
        <v>1827</v>
      </c>
    </row>
    <row r="30" spans="2:9" s="25" customFormat="1" ht="16.5" thickBot="1">
      <c r="B30" s="40">
        <f t="shared" si="0"/>
        <v>26</v>
      </c>
      <c r="C30" s="27" t="s">
        <v>385</v>
      </c>
      <c r="D30" s="29" t="s">
        <v>202</v>
      </c>
      <c r="E30" s="27" t="s">
        <v>865</v>
      </c>
      <c r="F30" s="27" t="s">
        <v>1728</v>
      </c>
      <c r="G30" s="26"/>
      <c r="H30" s="88" t="s">
        <v>3783</v>
      </c>
      <c r="I30" s="50" t="s">
        <v>1826</v>
      </c>
    </row>
    <row r="31" spans="2:9" s="25" customFormat="1" ht="16.5" thickBot="1">
      <c r="B31" s="40">
        <f t="shared" si="0"/>
        <v>27</v>
      </c>
      <c r="C31" s="27" t="s">
        <v>385</v>
      </c>
      <c r="D31" s="29" t="s">
        <v>202</v>
      </c>
      <c r="E31" s="27" t="s">
        <v>865</v>
      </c>
      <c r="F31" s="27" t="s">
        <v>1333</v>
      </c>
      <c r="G31" s="27" t="s">
        <v>949</v>
      </c>
      <c r="H31" s="89" t="s">
        <v>1828</v>
      </c>
    </row>
    <row r="32" spans="2:9" s="25" customFormat="1" ht="16.5" thickBot="1">
      <c r="B32" s="40">
        <f t="shared" si="0"/>
        <v>28</v>
      </c>
      <c r="C32" s="27" t="s">
        <v>385</v>
      </c>
      <c r="D32" s="29" t="s">
        <v>202</v>
      </c>
      <c r="E32" s="27" t="s">
        <v>865</v>
      </c>
      <c r="F32" s="27" t="s">
        <v>1333</v>
      </c>
      <c r="G32" s="27" t="s">
        <v>949</v>
      </c>
      <c r="H32" s="89" t="s">
        <v>1829</v>
      </c>
    </row>
    <row r="33" spans="2:9" s="25" customFormat="1" ht="16.5" thickBot="1">
      <c r="B33" s="40">
        <f t="shared" si="0"/>
        <v>29</v>
      </c>
      <c r="C33" s="27" t="s">
        <v>385</v>
      </c>
      <c r="D33" s="29" t="s">
        <v>202</v>
      </c>
      <c r="E33" s="27" t="s">
        <v>865</v>
      </c>
      <c r="F33" s="27" t="s">
        <v>1333</v>
      </c>
      <c r="G33" s="27" t="s">
        <v>951</v>
      </c>
      <c r="H33" s="89" t="s">
        <v>1828</v>
      </c>
    </row>
    <row r="34" spans="2:9" s="25" customFormat="1" ht="32.25" thickBot="1">
      <c r="B34" s="40">
        <f t="shared" si="0"/>
        <v>30</v>
      </c>
      <c r="C34" s="27" t="s">
        <v>385</v>
      </c>
      <c r="D34" s="85" t="s">
        <v>202</v>
      </c>
      <c r="E34" s="27" t="s">
        <v>865</v>
      </c>
      <c r="F34" s="27"/>
      <c r="G34" s="27" t="s">
        <v>1831</v>
      </c>
      <c r="H34" s="89" t="s">
        <v>1830</v>
      </c>
    </row>
    <row r="35" spans="2:9" s="25" customFormat="1" ht="9" customHeight="1" thickBot="1">
      <c r="B35" s="23">
        <f t="shared" si="0"/>
        <v>31</v>
      </c>
      <c r="C35" s="43"/>
      <c r="D35" s="43"/>
      <c r="E35" s="43"/>
      <c r="F35" s="43"/>
      <c r="G35" s="43"/>
      <c r="H35" s="94"/>
    </row>
    <row r="36" spans="2:9" s="25" customFormat="1" ht="9" customHeight="1" thickBot="1">
      <c r="B36" s="23">
        <f t="shared" si="0"/>
        <v>32</v>
      </c>
      <c r="C36" s="37"/>
      <c r="D36" s="37"/>
      <c r="E36" s="37"/>
      <c r="F36" s="37"/>
      <c r="G36" s="38"/>
      <c r="H36" s="94"/>
    </row>
    <row r="37" spans="2:9" s="25" customFormat="1" ht="16.5" thickBot="1">
      <c r="B37" s="40">
        <f t="shared" si="0"/>
        <v>33</v>
      </c>
      <c r="C37" s="27" t="s">
        <v>385</v>
      </c>
      <c r="D37" s="52" t="s">
        <v>203</v>
      </c>
      <c r="E37" s="27" t="s">
        <v>865</v>
      </c>
      <c r="F37" s="27" t="s">
        <v>866</v>
      </c>
      <c r="G37" s="26"/>
      <c r="H37" s="88" t="s">
        <v>1834</v>
      </c>
    </row>
    <row r="38" spans="2:9" s="25" customFormat="1" ht="32.25" thickBot="1">
      <c r="B38" s="40">
        <f t="shared" si="0"/>
        <v>34</v>
      </c>
      <c r="C38" s="27" t="s">
        <v>385</v>
      </c>
      <c r="D38" s="52" t="s">
        <v>203</v>
      </c>
      <c r="E38" s="27" t="s">
        <v>865</v>
      </c>
      <c r="F38" s="27" t="s">
        <v>1728</v>
      </c>
      <c r="G38" s="26"/>
      <c r="H38" s="89" t="s">
        <v>3784</v>
      </c>
      <c r="I38" s="50" t="s">
        <v>1835</v>
      </c>
    </row>
    <row r="39" spans="2:9" s="25" customFormat="1" ht="32.25" thickBot="1">
      <c r="B39" s="40">
        <f t="shared" si="0"/>
        <v>35</v>
      </c>
      <c r="C39" s="27" t="s">
        <v>385</v>
      </c>
      <c r="D39" s="52" t="s">
        <v>203</v>
      </c>
      <c r="E39" s="27" t="s">
        <v>865</v>
      </c>
      <c r="F39" s="27" t="s">
        <v>1333</v>
      </c>
      <c r="G39" s="27" t="s">
        <v>870</v>
      </c>
      <c r="H39" s="89" t="s">
        <v>1836</v>
      </c>
    </row>
    <row r="40" spans="2:9" s="25" customFormat="1" ht="16.5" thickBot="1">
      <c r="B40" s="40">
        <f t="shared" si="0"/>
        <v>36</v>
      </c>
      <c r="C40" s="27" t="s">
        <v>385</v>
      </c>
      <c r="D40" s="52" t="s">
        <v>203</v>
      </c>
      <c r="E40" s="27" t="s">
        <v>865</v>
      </c>
      <c r="F40" s="27" t="s">
        <v>1333</v>
      </c>
      <c r="G40" s="27" t="s">
        <v>949</v>
      </c>
      <c r="H40" s="89" t="s">
        <v>3785</v>
      </c>
    </row>
    <row r="41" spans="2:9" s="25" customFormat="1" ht="16.5" thickBot="1">
      <c r="B41" s="40">
        <f t="shared" si="0"/>
        <v>37</v>
      </c>
      <c r="C41" s="27" t="s">
        <v>385</v>
      </c>
      <c r="D41" s="52" t="s">
        <v>203</v>
      </c>
      <c r="E41" s="27" t="s">
        <v>865</v>
      </c>
      <c r="F41" s="27" t="s">
        <v>1333</v>
      </c>
      <c r="G41" s="27" t="s">
        <v>874</v>
      </c>
      <c r="H41" s="89" t="s">
        <v>1837</v>
      </c>
    </row>
    <row r="42" spans="2:9" s="25" customFormat="1" ht="32.25" thickBot="1">
      <c r="B42" s="40">
        <f t="shared" si="0"/>
        <v>38</v>
      </c>
      <c r="C42" s="27" t="s">
        <v>385</v>
      </c>
      <c r="D42" s="52" t="s">
        <v>203</v>
      </c>
      <c r="E42" s="27" t="s">
        <v>865</v>
      </c>
      <c r="F42" s="27" t="s">
        <v>1333</v>
      </c>
      <c r="G42" s="27" t="s">
        <v>951</v>
      </c>
      <c r="H42" s="89" t="s">
        <v>1838</v>
      </c>
    </row>
    <row r="43" spans="2:9" s="25" customFormat="1" ht="32.25" thickBot="1">
      <c r="B43" s="40">
        <f t="shared" si="0"/>
        <v>39</v>
      </c>
      <c r="C43" s="27" t="s">
        <v>385</v>
      </c>
      <c r="D43" s="52" t="s">
        <v>203</v>
      </c>
      <c r="E43" s="27" t="s">
        <v>865</v>
      </c>
      <c r="F43" s="27" t="s">
        <v>1333</v>
      </c>
      <c r="G43" s="27" t="s">
        <v>951</v>
      </c>
      <c r="H43" s="90" t="s">
        <v>1839</v>
      </c>
    </row>
    <row r="44" spans="2:9" s="25" customFormat="1" ht="32.25" thickBot="1">
      <c r="B44" s="40">
        <f t="shared" si="0"/>
        <v>40</v>
      </c>
      <c r="C44" s="27" t="s">
        <v>385</v>
      </c>
      <c r="D44" s="82" t="s">
        <v>203</v>
      </c>
      <c r="E44" s="49" t="s">
        <v>865</v>
      </c>
      <c r="F44" s="49"/>
      <c r="G44" s="49" t="s">
        <v>1833</v>
      </c>
      <c r="H44" s="95" t="s">
        <v>1843</v>
      </c>
    </row>
    <row r="45" spans="2:9" s="25" customFormat="1" ht="32.25" thickBot="1">
      <c r="B45" s="40">
        <f t="shared" si="0"/>
        <v>41</v>
      </c>
      <c r="C45" s="27" t="s">
        <v>385</v>
      </c>
      <c r="D45" s="82" t="s">
        <v>203</v>
      </c>
      <c r="E45" s="49" t="s">
        <v>865</v>
      </c>
      <c r="F45" s="49"/>
      <c r="G45" s="49" t="s">
        <v>1842</v>
      </c>
      <c r="H45" s="95" t="s">
        <v>1848</v>
      </c>
    </row>
    <row r="46" spans="2:9" s="25" customFormat="1" ht="48" thickBot="1">
      <c r="B46" s="40">
        <f t="shared" si="0"/>
        <v>42</v>
      </c>
      <c r="C46" s="27" t="s">
        <v>385</v>
      </c>
      <c r="D46" s="82" t="s">
        <v>203</v>
      </c>
      <c r="E46" s="49" t="s">
        <v>865</v>
      </c>
      <c r="F46" s="49"/>
      <c r="G46" s="49" t="s">
        <v>1844</v>
      </c>
      <c r="H46" s="95" t="s">
        <v>3786</v>
      </c>
    </row>
    <row r="47" spans="2:9" s="25" customFormat="1" ht="48" thickBot="1">
      <c r="B47" s="40">
        <f t="shared" si="0"/>
        <v>43</v>
      </c>
      <c r="C47" s="27" t="s">
        <v>385</v>
      </c>
      <c r="D47" s="82" t="s">
        <v>203</v>
      </c>
      <c r="E47" s="49" t="s">
        <v>865</v>
      </c>
      <c r="F47" s="49"/>
      <c r="G47" s="49" t="s">
        <v>1840</v>
      </c>
      <c r="H47" s="95" t="s">
        <v>1846</v>
      </c>
    </row>
    <row r="48" spans="2:9" s="25" customFormat="1" ht="32.25" thickBot="1">
      <c r="B48" s="40">
        <f t="shared" si="0"/>
        <v>44</v>
      </c>
      <c r="C48" s="27" t="s">
        <v>385</v>
      </c>
      <c r="D48" s="82" t="s">
        <v>203</v>
      </c>
      <c r="E48" s="49" t="s">
        <v>865</v>
      </c>
      <c r="F48" s="49"/>
      <c r="G48" s="49" t="s">
        <v>1841</v>
      </c>
      <c r="H48" s="95" t="s">
        <v>3787</v>
      </c>
    </row>
    <row r="49" spans="2:9" s="25" customFormat="1" ht="9" customHeight="1" thickBot="1">
      <c r="B49" s="23">
        <f t="shared" si="0"/>
        <v>45</v>
      </c>
      <c r="C49" s="43"/>
      <c r="D49" s="43"/>
      <c r="E49" s="43"/>
      <c r="F49" s="43"/>
      <c r="G49" s="43"/>
      <c r="H49" s="96"/>
    </row>
    <row r="50" spans="2:9" s="25" customFormat="1" ht="9" customHeight="1" thickBot="1">
      <c r="B50" s="23">
        <f t="shared" si="0"/>
        <v>46</v>
      </c>
      <c r="C50" s="37"/>
      <c r="D50" s="37"/>
      <c r="E50" s="37"/>
      <c r="F50" s="37"/>
      <c r="G50" s="38"/>
      <c r="H50" s="94"/>
    </row>
    <row r="51" spans="2:9" s="25" customFormat="1" ht="16.5" thickBot="1">
      <c r="B51" s="40">
        <f t="shared" si="0"/>
        <v>47</v>
      </c>
      <c r="C51" s="27" t="s">
        <v>385</v>
      </c>
      <c r="D51" s="29" t="s">
        <v>204</v>
      </c>
      <c r="E51" s="27" t="s">
        <v>865</v>
      </c>
      <c r="F51" s="27" t="s">
        <v>866</v>
      </c>
      <c r="G51" s="26"/>
      <c r="H51" s="88" t="s">
        <v>1849</v>
      </c>
    </row>
    <row r="52" spans="2:9" s="25" customFormat="1" ht="16.5" thickBot="1">
      <c r="B52" s="40">
        <f t="shared" si="0"/>
        <v>48</v>
      </c>
      <c r="C52" s="27" t="s">
        <v>385</v>
      </c>
      <c r="D52" s="29" t="s">
        <v>204</v>
      </c>
      <c r="E52" s="27" t="s">
        <v>865</v>
      </c>
      <c r="F52" s="27" t="s">
        <v>1728</v>
      </c>
      <c r="G52" s="26"/>
      <c r="H52" s="88" t="s">
        <v>3788</v>
      </c>
      <c r="I52" s="50" t="s">
        <v>1850</v>
      </c>
    </row>
    <row r="53" spans="2:9" s="25" customFormat="1" ht="16.5" thickBot="1">
      <c r="B53" s="40">
        <f t="shared" si="0"/>
        <v>49</v>
      </c>
      <c r="C53" s="27" t="s">
        <v>385</v>
      </c>
      <c r="D53" s="29" t="s">
        <v>204</v>
      </c>
      <c r="E53" s="27" t="s">
        <v>865</v>
      </c>
      <c r="F53" s="27" t="s">
        <v>1333</v>
      </c>
      <c r="G53" s="27" t="s">
        <v>870</v>
      </c>
      <c r="H53" s="89" t="s">
        <v>1851</v>
      </c>
    </row>
    <row r="54" spans="2:9" s="25" customFormat="1" ht="16.5" thickBot="1">
      <c r="B54" s="40">
        <f t="shared" si="0"/>
        <v>50</v>
      </c>
      <c r="C54" s="27" t="s">
        <v>385</v>
      </c>
      <c r="D54" s="29" t="s">
        <v>204</v>
      </c>
      <c r="E54" s="27" t="s">
        <v>865</v>
      </c>
      <c r="F54" s="27" t="s">
        <v>1333</v>
      </c>
      <c r="G54" s="27" t="s">
        <v>989</v>
      </c>
      <c r="H54" s="89" t="s">
        <v>1852</v>
      </c>
    </row>
    <row r="55" spans="2:9" s="25" customFormat="1" ht="16.5" thickBot="1">
      <c r="B55" s="40">
        <f t="shared" si="0"/>
        <v>51</v>
      </c>
      <c r="C55" s="27" t="s">
        <v>385</v>
      </c>
      <c r="D55" s="29" t="s">
        <v>204</v>
      </c>
      <c r="E55" s="27" t="s">
        <v>865</v>
      </c>
      <c r="F55" s="27" t="s">
        <v>1333</v>
      </c>
      <c r="G55" s="27" t="s">
        <v>874</v>
      </c>
      <c r="H55" s="89" t="s">
        <v>1853</v>
      </c>
    </row>
    <row r="56" spans="2:9" s="25" customFormat="1" ht="16.5" thickBot="1">
      <c r="B56" s="40">
        <f t="shared" si="0"/>
        <v>52</v>
      </c>
      <c r="C56" s="27" t="s">
        <v>385</v>
      </c>
      <c r="D56" s="29" t="s">
        <v>204</v>
      </c>
      <c r="E56" s="27" t="s">
        <v>865</v>
      </c>
      <c r="F56" s="27"/>
      <c r="G56" s="27" t="s">
        <v>1855</v>
      </c>
      <c r="H56" s="89" t="s">
        <v>1854</v>
      </c>
    </row>
    <row r="57" spans="2:9" s="25" customFormat="1" ht="9" customHeight="1" thickBot="1">
      <c r="B57" s="23">
        <f t="shared" si="0"/>
        <v>53</v>
      </c>
      <c r="C57" s="43"/>
      <c r="D57" s="43"/>
      <c r="E57" s="43"/>
      <c r="F57" s="43"/>
      <c r="G57" s="43"/>
      <c r="H57" s="94"/>
    </row>
    <row r="58" spans="2:9" s="25" customFormat="1" ht="9" customHeight="1" thickBot="1">
      <c r="B58" s="23">
        <f t="shared" si="0"/>
        <v>54</v>
      </c>
      <c r="C58" s="37"/>
      <c r="D58" s="37"/>
      <c r="E58" s="37"/>
      <c r="F58" s="37"/>
      <c r="G58" s="38"/>
      <c r="H58" s="94"/>
    </row>
    <row r="59" spans="2:9" s="25" customFormat="1" ht="16.5" thickBot="1">
      <c r="B59" s="40">
        <f t="shared" si="0"/>
        <v>55</v>
      </c>
      <c r="C59" s="27" t="s">
        <v>385</v>
      </c>
      <c r="D59" s="29" t="s">
        <v>205</v>
      </c>
      <c r="E59" s="27" t="s">
        <v>865</v>
      </c>
      <c r="F59" s="27" t="s">
        <v>866</v>
      </c>
      <c r="G59" s="26"/>
      <c r="H59" s="88" t="s">
        <v>1859</v>
      </c>
    </row>
    <row r="60" spans="2:9" s="25" customFormat="1" ht="16.5" thickBot="1">
      <c r="B60" s="40">
        <f t="shared" si="0"/>
        <v>56</v>
      </c>
      <c r="C60" s="27" t="s">
        <v>385</v>
      </c>
      <c r="D60" s="29" t="s">
        <v>205</v>
      </c>
      <c r="E60" s="27" t="s">
        <v>865</v>
      </c>
      <c r="F60" s="27" t="s">
        <v>1728</v>
      </c>
      <c r="G60" s="26"/>
      <c r="H60" s="88" t="s">
        <v>1856</v>
      </c>
      <c r="I60" s="50" t="s">
        <v>1858</v>
      </c>
    </row>
    <row r="61" spans="2:9" s="25" customFormat="1" ht="16.5" thickBot="1">
      <c r="B61" s="40">
        <f t="shared" si="0"/>
        <v>57</v>
      </c>
      <c r="C61" s="27" t="s">
        <v>385</v>
      </c>
      <c r="D61" s="29" t="s">
        <v>205</v>
      </c>
      <c r="E61" s="27" t="s">
        <v>865</v>
      </c>
      <c r="F61" s="27" t="s">
        <v>1333</v>
      </c>
      <c r="G61" s="27" t="s">
        <v>992</v>
      </c>
      <c r="H61" s="89" t="s">
        <v>1860</v>
      </c>
    </row>
    <row r="62" spans="2:9" s="25" customFormat="1" ht="16.5" thickBot="1">
      <c r="B62" s="40">
        <f t="shared" si="0"/>
        <v>58</v>
      </c>
      <c r="C62" s="27" t="s">
        <v>385</v>
      </c>
      <c r="D62" s="29" t="s">
        <v>205</v>
      </c>
      <c r="E62" s="27" t="s">
        <v>865</v>
      </c>
      <c r="F62" s="27" t="s">
        <v>1333</v>
      </c>
      <c r="G62" s="27" t="s">
        <v>923</v>
      </c>
      <c r="H62" s="89" t="s">
        <v>1861</v>
      </c>
    </row>
    <row r="63" spans="2:9" s="25" customFormat="1" ht="16.5" thickBot="1">
      <c r="B63" s="40">
        <f t="shared" si="0"/>
        <v>59</v>
      </c>
      <c r="C63" s="27" t="s">
        <v>385</v>
      </c>
      <c r="D63" s="29" t="s">
        <v>205</v>
      </c>
      <c r="E63" s="27" t="s">
        <v>865</v>
      </c>
      <c r="F63" s="27" t="s">
        <v>1333</v>
      </c>
      <c r="G63" s="27" t="s">
        <v>874</v>
      </c>
      <c r="H63" s="89" t="s">
        <v>1862</v>
      </c>
    </row>
    <row r="64" spans="2:9" s="25" customFormat="1" ht="16.5" thickBot="1">
      <c r="B64" s="40">
        <f t="shared" si="0"/>
        <v>60</v>
      </c>
      <c r="C64" s="27" t="s">
        <v>385</v>
      </c>
      <c r="D64" s="29" t="s">
        <v>205</v>
      </c>
      <c r="E64" s="27" t="s">
        <v>865</v>
      </c>
      <c r="F64" s="27" t="s">
        <v>1333</v>
      </c>
      <c r="G64" s="27" t="s">
        <v>921</v>
      </c>
      <c r="H64" s="89" t="s">
        <v>1863</v>
      </c>
    </row>
    <row r="65" spans="2:9" s="25" customFormat="1" ht="16.5" thickBot="1">
      <c r="B65" s="40">
        <f t="shared" si="0"/>
        <v>61</v>
      </c>
      <c r="C65" s="27" t="s">
        <v>385</v>
      </c>
      <c r="D65" s="29" t="s">
        <v>205</v>
      </c>
      <c r="E65" s="27" t="s">
        <v>865</v>
      </c>
      <c r="F65" s="27" t="s">
        <v>1333</v>
      </c>
      <c r="G65" s="27" t="s">
        <v>870</v>
      </c>
      <c r="H65" s="89" t="s">
        <v>1864</v>
      </c>
    </row>
    <row r="66" spans="2:9" s="25" customFormat="1" ht="16.5" thickBot="1">
      <c r="B66" s="40">
        <f t="shared" si="0"/>
        <v>62</v>
      </c>
      <c r="C66" s="27" t="s">
        <v>385</v>
      </c>
      <c r="D66" s="29" t="s">
        <v>205</v>
      </c>
      <c r="E66" s="27" t="s">
        <v>865</v>
      </c>
      <c r="F66" s="27" t="s">
        <v>1333</v>
      </c>
      <c r="G66" s="27" t="s">
        <v>989</v>
      </c>
      <c r="H66" s="89" t="s">
        <v>1852</v>
      </c>
    </row>
    <row r="67" spans="2:9" s="25" customFormat="1" ht="16.5" thickBot="1">
      <c r="B67" s="40">
        <f t="shared" si="0"/>
        <v>63</v>
      </c>
      <c r="C67" s="27" t="s">
        <v>385</v>
      </c>
      <c r="D67" s="71" t="s">
        <v>205</v>
      </c>
      <c r="E67" s="27" t="s">
        <v>865</v>
      </c>
      <c r="F67" s="27"/>
      <c r="G67" s="79" t="s">
        <v>1867</v>
      </c>
      <c r="H67" s="97" t="s">
        <v>1868</v>
      </c>
    </row>
    <row r="68" spans="2:9" s="25" customFormat="1" ht="16.5" thickBot="1">
      <c r="B68" s="40">
        <f t="shared" si="0"/>
        <v>64</v>
      </c>
      <c r="C68" s="27" t="s">
        <v>385</v>
      </c>
      <c r="D68" s="71" t="s">
        <v>205</v>
      </c>
      <c r="E68" s="27" t="s">
        <v>865</v>
      </c>
      <c r="F68" s="27"/>
      <c r="G68" s="27" t="s">
        <v>1866</v>
      </c>
      <c r="H68" s="15" t="s">
        <v>1865</v>
      </c>
    </row>
    <row r="69" spans="2:9" s="25" customFormat="1" ht="16.5" thickBot="1">
      <c r="B69" s="40">
        <f t="shared" si="0"/>
        <v>65</v>
      </c>
      <c r="C69" s="27" t="s">
        <v>385</v>
      </c>
      <c r="D69" s="71" t="s">
        <v>205</v>
      </c>
      <c r="E69" s="27" t="s">
        <v>865</v>
      </c>
      <c r="F69" s="27"/>
      <c r="G69" s="27" t="s">
        <v>1869</v>
      </c>
      <c r="H69" s="98" t="s">
        <v>1870</v>
      </c>
    </row>
    <row r="70" spans="2:9" s="25" customFormat="1" ht="48" thickBot="1">
      <c r="B70" s="40">
        <f t="shared" si="0"/>
        <v>66</v>
      </c>
      <c r="C70" s="27" t="s">
        <v>385</v>
      </c>
      <c r="D70" s="71" t="s">
        <v>205</v>
      </c>
      <c r="E70" s="27" t="s">
        <v>865</v>
      </c>
      <c r="F70" s="27"/>
      <c r="G70" s="27" t="s">
        <v>1857</v>
      </c>
      <c r="H70" s="89" t="s">
        <v>1871</v>
      </c>
    </row>
    <row r="71" spans="2:9" s="25" customFormat="1" ht="16.5" thickBot="1">
      <c r="B71" s="40">
        <f t="shared" si="0"/>
        <v>67</v>
      </c>
      <c r="C71" s="27" t="s">
        <v>385</v>
      </c>
      <c r="D71" s="71" t="s">
        <v>205</v>
      </c>
      <c r="E71" s="27" t="s">
        <v>880</v>
      </c>
      <c r="F71" s="27" t="s">
        <v>1780</v>
      </c>
      <c r="G71" s="27" t="s">
        <v>1872</v>
      </c>
      <c r="H71" s="104" t="s">
        <v>3789</v>
      </c>
    </row>
    <row r="72" spans="2:9" s="25" customFormat="1" ht="9" customHeight="1" thickBot="1">
      <c r="B72" s="23">
        <f t="shared" si="0"/>
        <v>68</v>
      </c>
      <c r="C72" s="43"/>
      <c r="D72" s="43"/>
      <c r="E72" s="43"/>
      <c r="F72" s="43"/>
      <c r="G72" s="43"/>
      <c r="H72" s="94"/>
    </row>
    <row r="73" spans="2:9" s="25" customFormat="1" ht="9" customHeight="1" thickBot="1">
      <c r="B73" s="23">
        <f t="shared" si="0"/>
        <v>69</v>
      </c>
      <c r="C73" s="37"/>
      <c r="D73" s="37"/>
      <c r="E73" s="37"/>
      <c r="F73" s="37"/>
      <c r="G73" s="38"/>
      <c r="H73" s="94"/>
    </row>
    <row r="74" spans="2:9" s="25" customFormat="1" ht="16.5" thickBot="1">
      <c r="B74" s="40">
        <f t="shared" si="0"/>
        <v>70</v>
      </c>
      <c r="C74" s="27" t="s">
        <v>385</v>
      </c>
      <c r="D74" s="29" t="s">
        <v>206</v>
      </c>
      <c r="E74" s="27" t="s">
        <v>865</v>
      </c>
      <c r="F74" s="27" t="s">
        <v>866</v>
      </c>
      <c r="G74" s="26"/>
      <c r="H74" s="88" t="s">
        <v>1875</v>
      </c>
    </row>
    <row r="75" spans="2:9" s="25" customFormat="1" ht="16.5" thickBot="1">
      <c r="B75" s="40">
        <f t="shared" si="0"/>
        <v>71</v>
      </c>
      <c r="C75" s="27" t="s">
        <v>385</v>
      </c>
      <c r="D75" s="29" t="s">
        <v>206</v>
      </c>
      <c r="E75" s="27" t="s">
        <v>865</v>
      </c>
      <c r="F75" s="27" t="s">
        <v>1728</v>
      </c>
      <c r="G75" s="26"/>
      <c r="H75" s="88" t="s">
        <v>3790</v>
      </c>
      <c r="I75" s="50" t="s">
        <v>1874</v>
      </c>
    </row>
    <row r="76" spans="2:9" s="25" customFormat="1" ht="16.5" thickBot="1">
      <c r="B76" s="40">
        <f t="shared" si="0"/>
        <v>72</v>
      </c>
      <c r="C76" s="27" t="s">
        <v>385</v>
      </c>
      <c r="D76" s="29" t="s">
        <v>206</v>
      </c>
      <c r="E76" s="27" t="s">
        <v>865</v>
      </c>
      <c r="F76" s="27" t="s">
        <v>1333</v>
      </c>
      <c r="G76" s="27" t="s">
        <v>870</v>
      </c>
      <c r="H76" s="89" t="s">
        <v>1852</v>
      </c>
    </row>
    <row r="77" spans="2:9" s="25" customFormat="1" ht="16.5" thickBot="1">
      <c r="B77" s="40">
        <f t="shared" si="0"/>
        <v>73</v>
      </c>
      <c r="C77" s="27" t="s">
        <v>385</v>
      </c>
      <c r="D77" s="29" t="s">
        <v>206</v>
      </c>
      <c r="E77" s="27" t="s">
        <v>865</v>
      </c>
      <c r="F77" s="27" t="s">
        <v>1333</v>
      </c>
      <c r="G77" s="27" t="s">
        <v>874</v>
      </c>
      <c r="H77" s="89" t="s">
        <v>1853</v>
      </c>
    </row>
    <row r="78" spans="2:9" s="25" customFormat="1" ht="16.5" thickBot="1">
      <c r="B78" s="40">
        <f t="shared" si="0"/>
        <v>74</v>
      </c>
      <c r="C78" s="27" t="s">
        <v>385</v>
      </c>
      <c r="D78" s="29" t="s">
        <v>206</v>
      </c>
      <c r="E78" s="27" t="s">
        <v>865</v>
      </c>
      <c r="F78" s="27"/>
      <c r="G78" s="27" t="s">
        <v>1877</v>
      </c>
      <c r="H78" s="89" t="s">
        <v>3791</v>
      </c>
    </row>
    <row r="79" spans="2:9" s="25" customFormat="1" ht="16.5" thickBot="1">
      <c r="B79" s="40">
        <f t="shared" si="0"/>
        <v>75</v>
      </c>
      <c r="C79" s="27" t="s">
        <v>385</v>
      </c>
      <c r="D79" s="29" t="s">
        <v>206</v>
      </c>
      <c r="E79" s="27" t="s">
        <v>865</v>
      </c>
      <c r="F79" s="27"/>
      <c r="G79" s="27" t="s">
        <v>1878</v>
      </c>
      <c r="H79" s="89" t="s">
        <v>1890</v>
      </c>
    </row>
    <row r="80" spans="2:9" s="25" customFormat="1" ht="16.5" thickBot="1">
      <c r="B80" s="40">
        <f t="shared" si="0"/>
        <v>76</v>
      </c>
      <c r="C80" s="27" t="s">
        <v>385</v>
      </c>
      <c r="D80" s="71" t="s">
        <v>206</v>
      </c>
      <c r="E80" s="27" t="s">
        <v>865</v>
      </c>
      <c r="F80" s="27"/>
      <c r="G80" s="80" t="s">
        <v>1879</v>
      </c>
      <c r="H80" s="89" t="s">
        <v>1891</v>
      </c>
    </row>
    <row r="81" spans="2:9" s="25" customFormat="1" ht="16.5" thickBot="1">
      <c r="B81" s="40">
        <f t="shared" si="0"/>
        <v>77</v>
      </c>
      <c r="C81" s="27" t="s">
        <v>385</v>
      </c>
      <c r="D81" s="71" t="s">
        <v>206</v>
      </c>
      <c r="E81" s="27" t="s">
        <v>865</v>
      </c>
      <c r="F81" s="27"/>
      <c r="G81" s="27" t="s">
        <v>1880</v>
      </c>
      <c r="H81" s="89" t="s">
        <v>1892</v>
      </c>
    </row>
    <row r="82" spans="2:9" s="25" customFormat="1" ht="16.5" thickBot="1">
      <c r="B82" s="40">
        <f t="shared" si="0"/>
        <v>78</v>
      </c>
      <c r="C82" s="27" t="s">
        <v>385</v>
      </c>
      <c r="D82" s="71" t="s">
        <v>206</v>
      </c>
      <c r="E82" s="27" t="s">
        <v>865</v>
      </c>
      <c r="F82" s="27"/>
      <c r="G82" s="27" t="s">
        <v>1881</v>
      </c>
      <c r="H82" s="89" t="s">
        <v>1893</v>
      </c>
    </row>
    <row r="83" spans="2:9" s="25" customFormat="1" ht="16.5" thickBot="1">
      <c r="B83" s="40">
        <f t="shared" si="0"/>
        <v>79</v>
      </c>
      <c r="C83" s="27" t="s">
        <v>385</v>
      </c>
      <c r="D83" s="71" t="s">
        <v>206</v>
      </c>
      <c r="E83" s="27" t="s">
        <v>865</v>
      </c>
      <c r="F83" s="27"/>
      <c r="G83" s="27" t="s">
        <v>1882</v>
      </c>
      <c r="H83" s="89" t="s">
        <v>1894</v>
      </c>
    </row>
    <row r="84" spans="2:9" s="25" customFormat="1" ht="16.5" thickBot="1">
      <c r="B84" s="40">
        <f t="shared" si="0"/>
        <v>80</v>
      </c>
      <c r="C84" s="27" t="s">
        <v>385</v>
      </c>
      <c r="D84" s="71" t="s">
        <v>206</v>
      </c>
      <c r="E84" s="27" t="s">
        <v>865</v>
      </c>
      <c r="F84" s="27"/>
      <c r="G84" s="27" t="s">
        <v>1883</v>
      </c>
      <c r="H84" s="89" t="s">
        <v>1895</v>
      </c>
    </row>
    <row r="85" spans="2:9" s="25" customFormat="1" ht="16.5" thickBot="1">
      <c r="B85" s="40">
        <f t="shared" si="0"/>
        <v>81</v>
      </c>
      <c r="C85" s="27" t="s">
        <v>385</v>
      </c>
      <c r="D85" s="71" t="s">
        <v>206</v>
      </c>
      <c r="E85" s="27" t="s">
        <v>865</v>
      </c>
      <c r="F85" s="27"/>
      <c r="G85" s="27" t="s">
        <v>1884</v>
      </c>
      <c r="H85" s="89" t="s">
        <v>1896</v>
      </c>
    </row>
    <row r="86" spans="2:9" s="25" customFormat="1" ht="16.5" thickBot="1">
      <c r="B86" s="40">
        <f t="shared" si="0"/>
        <v>82</v>
      </c>
      <c r="C86" s="27" t="s">
        <v>385</v>
      </c>
      <c r="D86" s="71" t="s">
        <v>206</v>
      </c>
      <c r="E86" s="27" t="s">
        <v>865</v>
      </c>
      <c r="F86" s="27"/>
      <c r="G86" s="27" t="s">
        <v>1885</v>
      </c>
      <c r="H86" s="89" t="s">
        <v>1897</v>
      </c>
    </row>
    <row r="87" spans="2:9" s="25" customFormat="1" ht="48" thickBot="1">
      <c r="B87" s="40">
        <f t="shared" si="0"/>
        <v>83</v>
      </c>
      <c r="C87" s="27" t="s">
        <v>385</v>
      </c>
      <c r="D87" s="71" t="s">
        <v>206</v>
      </c>
      <c r="E87" s="27" t="s">
        <v>865</v>
      </c>
      <c r="F87" s="27"/>
      <c r="G87" s="27" t="s">
        <v>1899</v>
      </c>
      <c r="H87" s="89" t="s">
        <v>1900</v>
      </c>
    </row>
    <row r="88" spans="2:9" s="25" customFormat="1" ht="32.25" thickBot="1">
      <c r="B88" s="40">
        <f t="shared" si="0"/>
        <v>84</v>
      </c>
      <c r="C88" s="27" t="s">
        <v>385</v>
      </c>
      <c r="D88" s="71" t="s">
        <v>206</v>
      </c>
      <c r="E88" s="27" t="s">
        <v>865</v>
      </c>
      <c r="F88" s="27"/>
      <c r="G88" s="27" t="s">
        <v>1876</v>
      </c>
      <c r="H88" s="89" t="s">
        <v>1901</v>
      </c>
    </row>
    <row r="89" spans="2:9" s="25" customFormat="1" ht="16.5" thickBot="1">
      <c r="B89" s="40">
        <f t="shared" si="0"/>
        <v>85</v>
      </c>
      <c r="C89" s="27" t="s">
        <v>385</v>
      </c>
      <c r="D89" s="29" t="s">
        <v>206</v>
      </c>
      <c r="E89" s="27" t="s">
        <v>865</v>
      </c>
      <c r="F89" s="27"/>
      <c r="G89" s="27" t="s">
        <v>1886</v>
      </c>
      <c r="H89" s="89" t="s">
        <v>1898</v>
      </c>
    </row>
    <row r="90" spans="2:9" s="25" customFormat="1" ht="16.5" thickBot="1">
      <c r="B90" s="40">
        <f t="shared" si="0"/>
        <v>86</v>
      </c>
      <c r="C90" s="27" t="s">
        <v>385</v>
      </c>
      <c r="D90" s="29" t="s">
        <v>206</v>
      </c>
      <c r="E90" s="27" t="s">
        <v>865</v>
      </c>
      <c r="F90" s="27"/>
      <c r="G90" s="27" t="s">
        <v>1887</v>
      </c>
      <c r="H90" s="89" t="s">
        <v>1898</v>
      </c>
    </row>
    <row r="91" spans="2:9" s="25" customFormat="1" ht="16.5" thickBot="1">
      <c r="B91" s="40">
        <f t="shared" si="0"/>
        <v>87</v>
      </c>
      <c r="C91" s="27" t="s">
        <v>385</v>
      </c>
      <c r="D91" s="71" t="s">
        <v>206</v>
      </c>
      <c r="E91" s="27" t="s">
        <v>880</v>
      </c>
      <c r="F91" s="27" t="s">
        <v>1780</v>
      </c>
      <c r="G91" s="27" t="s">
        <v>1888</v>
      </c>
      <c r="H91" s="104" t="s">
        <v>1889</v>
      </c>
    </row>
    <row r="92" spans="2:9" s="25" customFormat="1" ht="9" customHeight="1" thickBot="1">
      <c r="B92" s="23">
        <f t="shared" si="0"/>
        <v>88</v>
      </c>
      <c r="C92" s="43"/>
      <c r="D92" s="43"/>
      <c r="E92" s="43"/>
      <c r="F92" s="43"/>
      <c r="G92" s="43"/>
      <c r="H92" s="94"/>
    </row>
    <row r="93" spans="2:9" s="25" customFormat="1" ht="9" customHeight="1" thickBot="1">
      <c r="B93" s="23">
        <f t="shared" si="0"/>
        <v>89</v>
      </c>
      <c r="C93" s="37"/>
      <c r="D93" s="37"/>
      <c r="E93" s="37"/>
      <c r="F93" s="37"/>
      <c r="G93" s="38"/>
      <c r="H93" s="94"/>
    </row>
    <row r="94" spans="2:9" s="25" customFormat="1" ht="16.5" thickBot="1">
      <c r="B94" s="40">
        <f t="shared" si="0"/>
        <v>90</v>
      </c>
      <c r="C94" s="27" t="s">
        <v>385</v>
      </c>
      <c r="D94" s="29" t="s">
        <v>207</v>
      </c>
      <c r="E94" s="27" t="s">
        <v>865</v>
      </c>
      <c r="F94" s="27" t="s">
        <v>866</v>
      </c>
      <c r="G94" s="26"/>
      <c r="H94" s="88" t="s">
        <v>1903</v>
      </c>
    </row>
    <row r="95" spans="2:9" s="25" customFormat="1" ht="16.5" thickBot="1">
      <c r="B95" s="40">
        <f t="shared" si="0"/>
        <v>91</v>
      </c>
      <c r="C95" s="27" t="s">
        <v>385</v>
      </c>
      <c r="D95" s="29" t="s">
        <v>207</v>
      </c>
      <c r="E95" s="27" t="s">
        <v>865</v>
      </c>
      <c r="F95" s="27" t="s">
        <v>1728</v>
      </c>
      <c r="G95" s="26"/>
      <c r="H95" s="88" t="s">
        <v>3792</v>
      </c>
      <c r="I95" s="50" t="s">
        <v>1902</v>
      </c>
    </row>
    <row r="96" spans="2:9" s="25" customFormat="1" ht="16.5" thickBot="1">
      <c r="B96" s="40">
        <f t="shared" si="0"/>
        <v>92</v>
      </c>
      <c r="C96" s="27" t="s">
        <v>385</v>
      </c>
      <c r="D96" s="29" t="s">
        <v>207</v>
      </c>
      <c r="E96" s="27" t="s">
        <v>865</v>
      </c>
      <c r="F96" s="27" t="s">
        <v>1333</v>
      </c>
      <c r="G96" s="27" t="s">
        <v>921</v>
      </c>
      <c r="H96" s="89" t="s">
        <v>1904</v>
      </c>
    </row>
    <row r="97" spans="2:9" s="25" customFormat="1" ht="16.5" thickBot="1">
      <c r="B97" s="40">
        <f t="shared" si="0"/>
        <v>93</v>
      </c>
      <c r="C97" s="27" t="s">
        <v>385</v>
      </c>
      <c r="D97" s="29" t="s">
        <v>207</v>
      </c>
      <c r="E97" s="27" t="s">
        <v>865</v>
      </c>
      <c r="F97" s="27" t="s">
        <v>1333</v>
      </c>
      <c r="G97" s="27" t="s">
        <v>989</v>
      </c>
      <c r="H97" s="89" t="s">
        <v>1905</v>
      </c>
    </row>
    <row r="98" spans="2:9" s="25" customFormat="1" ht="16.5" thickBot="1">
      <c r="B98" s="40">
        <f t="shared" si="0"/>
        <v>94</v>
      </c>
      <c r="C98" s="27" t="s">
        <v>385</v>
      </c>
      <c r="D98" s="29" t="s">
        <v>207</v>
      </c>
      <c r="E98" s="27" t="s">
        <v>865</v>
      </c>
      <c r="F98" s="27" t="s">
        <v>1333</v>
      </c>
      <c r="G98" s="27" t="s">
        <v>923</v>
      </c>
      <c r="H98" s="89" t="s">
        <v>1906</v>
      </c>
    </row>
    <row r="99" spans="2:9" s="25" customFormat="1" ht="16.5" thickBot="1">
      <c r="B99" s="40">
        <f t="shared" si="0"/>
        <v>95</v>
      </c>
      <c r="C99" s="27" t="s">
        <v>385</v>
      </c>
      <c r="D99" s="29" t="s">
        <v>207</v>
      </c>
      <c r="E99" s="27" t="s">
        <v>865</v>
      </c>
      <c r="F99" s="27" t="s">
        <v>1333</v>
      </c>
      <c r="G99" s="27" t="s">
        <v>992</v>
      </c>
      <c r="H99" s="89" t="s">
        <v>1906</v>
      </c>
    </row>
    <row r="100" spans="2:9" s="25" customFormat="1" ht="16.5" thickBot="1">
      <c r="B100" s="40">
        <f t="shared" si="0"/>
        <v>96</v>
      </c>
      <c r="C100" s="27" t="s">
        <v>385</v>
      </c>
      <c r="D100" s="71" t="s">
        <v>207</v>
      </c>
      <c r="E100" s="49" t="s">
        <v>865</v>
      </c>
      <c r="F100" s="49"/>
      <c r="G100" s="49" t="s">
        <v>1909</v>
      </c>
      <c r="H100" s="90" t="s">
        <v>3793</v>
      </c>
    </row>
    <row r="101" spans="2:9" s="25" customFormat="1" ht="16.5" thickBot="1">
      <c r="B101" s="40">
        <f t="shared" si="0"/>
        <v>97</v>
      </c>
      <c r="C101" s="27" t="s">
        <v>385</v>
      </c>
      <c r="D101" s="71" t="s">
        <v>207</v>
      </c>
      <c r="E101" s="49" t="s">
        <v>865</v>
      </c>
      <c r="F101" s="49"/>
      <c r="G101" s="49" t="s">
        <v>1911</v>
      </c>
      <c r="H101" s="95" t="s">
        <v>3794</v>
      </c>
    </row>
    <row r="102" spans="2:9" s="25" customFormat="1" ht="16.5" thickBot="1">
      <c r="B102" s="40">
        <f t="shared" si="0"/>
        <v>98</v>
      </c>
      <c r="C102" s="27" t="s">
        <v>385</v>
      </c>
      <c r="D102" s="71" t="s">
        <v>207</v>
      </c>
      <c r="E102" s="49" t="s">
        <v>865</v>
      </c>
      <c r="F102" s="49"/>
      <c r="G102" s="49" t="s">
        <v>1913</v>
      </c>
      <c r="H102" s="95" t="s">
        <v>1912</v>
      </c>
    </row>
    <row r="103" spans="2:9" s="25" customFormat="1" ht="16.5" thickBot="1">
      <c r="B103" s="40">
        <f t="shared" si="0"/>
        <v>99</v>
      </c>
      <c r="C103" s="27" t="s">
        <v>385</v>
      </c>
      <c r="D103" s="71" t="s">
        <v>207</v>
      </c>
      <c r="E103" s="49" t="s">
        <v>865</v>
      </c>
      <c r="F103" s="49"/>
      <c r="G103" s="49" t="s">
        <v>1915</v>
      </c>
      <c r="H103" s="95" t="s">
        <v>1914</v>
      </c>
    </row>
    <row r="104" spans="2:9" s="25" customFormat="1" ht="16.5" thickBot="1">
      <c r="B104" s="40">
        <f t="shared" si="0"/>
        <v>100</v>
      </c>
      <c r="C104" s="27" t="s">
        <v>385</v>
      </c>
      <c r="D104" s="71" t="s">
        <v>207</v>
      </c>
      <c r="E104" s="49" t="s">
        <v>865</v>
      </c>
      <c r="F104" s="49"/>
      <c r="G104" s="49" t="s">
        <v>1917</v>
      </c>
      <c r="H104" s="95" t="s">
        <v>1916</v>
      </c>
    </row>
    <row r="105" spans="2:9" s="25" customFormat="1" ht="16.5" thickBot="1">
      <c r="B105" s="40">
        <f t="shared" si="0"/>
        <v>101</v>
      </c>
      <c r="C105" s="27" t="s">
        <v>385</v>
      </c>
      <c r="D105" s="71" t="s">
        <v>207</v>
      </c>
      <c r="E105" s="49" t="s">
        <v>865</v>
      </c>
      <c r="F105" s="49"/>
      <c r="G105" s="49" t="s">
        <v>1907</v>
      </c>
      <c r="H105" s="95" t="s">
        <v>2145</v>
      </c>
    </row>
    <row r="106" spans="2:9" s="25" customFormat="1" ht="9" customHeight="1" thickBot="1">
      <c r="B106" s="23">
        <f t="shared" si="0"/>
        <v>102</v>
      </c>
      <c r="C106" s="43"/>
      <c r="D106" s="43"/>
      <c r="E106" s="43"/>
      <c r="F106" s="43"/>
      <c r="G106" s="43"/>
      <c r="H106" s="96"/>
    </row>
    <row r="107" spans="2:9" s="25" customFormat="1" ht="9" customHeight="1" thickBot="1">
      <c r="B107" s="23">
        <f t="shared" si="0"/>
        <v>103</v>
      </c>
      <c r="C107" s="37"/>
      <c r="D107" s="37"/>
      <c r="E107" s="37"/>
      <c r="F107" s="37"/>
      <c r="G107" s="38"/>
      <c r="H107" s="94"/>
    </row>
    <row r="108" spans="2:9" s="25" customFormat="1" ht="16.5" thickBot="1">
      <c r="B108" s="40">
        <f t="shared" si="0"/>
        <v>104</v>
      </c>
      <c r="C108" s="27" t="s">
        <v>385</v>
      </c>
      <c r="D108" s="29" t="s">
        <v>208</v>
      </c>
      <c r="E108" s="27" t="s">
        <v>865</v>
      </c>
      <c r="F108" s="27" t="s">
        <v>866</v>
      </c>
      <c r="G108" s="26"/>
      <c r="H108" s="89" t="s">
        <v>2146</v>
      </c>
    </row>
    <row r="109" spans="2:9" s="25" customFormat="1" ht="16.5" thickBot="1">
      <c r="B109" s="40">
        <f t="shared" si="0"/>
        <v>105</v>
      </c>
      <c r="C109" s="27" t="s">
        <v>385</v>
      </c>
      <c r="D109" s="29" t="s">
        <v>208</v>
      </c>
      <c r="E109" s="27" t="s">
        <v>865</v>
      </c>
      <c r="F109" s="27" t="s">
        <v>1728</v>
      </c>
      <c r="G109" s="26"/>
      <c r="H109" s="88" t="s">
        <v>3795</v>
      </c>
      <c r="I109" s="50" t="s">
        <v>1918</v>
      </c>
    </row>
    <row r="110" spans="2:9" s="25" customFormat="1" ht="16.5" thickBot="1">
      <c r="B110" s="40">
        <f t="shared" si="0"/>
        <v>106</v>
      </c>
      <c r="C110" s="27" t="s">
        <v>385</v>
      </c>
      <c r="D110" s="29" t="s">
        <v>208</v>
      </c>
      <c r="E110" s="27" t="s">
        <v>865</v>
      </c>
      <c r="F110" s="27" t="s">
        <v>1333</v>
      </c>
      <c r="G110" s="27" t="s">
        <v>870</v>
      </c>
      <c r="H110" s="89" t="s">
        <v>1919</v>
      </c>
    </row>
    <row r="111" spans="2:9" s="25" customFormat="1" ht="16.5" thickBot="1">
      <c r="B111" s="40">
        <f t="shared" si="0"/>
        <v>107</v>
      </c>
      <c r="C111" s="27" t="s">
        <v>385</v>
      </c>
      <c r="D111" s="29" t="s">
        <v>208</v>
      </c>
      <c r="E111" s="27" t="s">
        <v>865</v>
      </c>
      <c r="F111" s="27" t="s">
        <v>1333</v>
      </c>
      <c r="G111" s="27" t="s">
        <v>872</v>
      </c>
      <c r="H111" s="89" t="s">
        <v>1920</v>
      </c>
    </row>
    <row r="112" spans="2:9" s="25" customFormat="1" ht="16.5" thickBot="1">
      <c r="B112" s="40">
        <f t="shared" ref="B112:B175" si="1">B111+1</f>
        <v>108</v>
      </c>
      <c r="C112" s="27" t="s">
        <v>385</v>
      </c>
      <c r="D112" s="29" t="s">
        <v>208</v>
      </c>
      <c r="E112" s="27" t="s">
        <v>865</v>
      </c>
      <c r="F112" s="27" t="s">
        <v>1333</v>
      </c>
      <c r="G112" s="27" t="s">
        <v>874</v>
      </c>
      <c r="H112" s="89" t="s">
        <v>3796</v>
      </c>
    </row>
    <row r="113" spans="2:9" s="25" customFormat="1" ht="16.5" thickBot="1">
      <c r="B113" s="40">
        <f t="shared" si="1"/>
        <v>109</v>
      </c>
      <c r="C113" s="27" t="s">
        <v>385</v>
      </c>
      <c r="D113" s="29" t="s">
        <v>208</v>
      </c>
      <c r="E113" s="27" t="s">
        <v>865</v>
      </c>
      <c r="F113" s="27" t="s">
        <v>1333</v>
      </c>
      <c r="G113" s="27" t="s">
        <v>876</v>
      </c>
      <c r="H113" s="89" t="s">
        <v>1921</v>
      </c>
    </row>
    <row r="114" spans="2:9" s="25" customFormat="1" ht="16.5" thickBot="1">
      <c r="B114" s="40">
        <f t="shared" si="1"/>
        <v>110</v>
      </c>
      <c r="C114" s="27" t="s">
        <v>385</v>
      </c>
      <c r="D114" s="71" t="s">
        <v>208</v>
      </c>
      <c r="E114" s="49" t="s">
        <v>865</v>
      </c>
      <c r="F114" s="49"/>
      <c r="G114" s="49" t="s">
        <v>1926</v>
      </c>
      <c r="H114" s="90" t="s">
        <v>1925</v>
      </c>
    </row>
    <row r="115" spans="2:9" s="25" customFormat="1" ht="16.5" thickBot="1">
      <c r="B115" s="40">
        <f t="shared" si="1"/>
        <v>111</v>
      </c>
      <c r="C115" s="27" t="s">
        <v>385</v>
      </c>
      <c r="D115" s="71" t="s">
        <v>208</v>
      </c>
      <c r="E115" s="49" t="s">
        <v>865</v>
      </c>
      <c r="F115" s="49"/>
      <c r="G115" s="49" t="s">
        <v>1927</v>
      </c>
      <c r="H115" s="95" t="s">
        <v>1924</v>
      </c>
    </row>
    <row r="116" spans="2:9" s="25" customFormat="1" ht="16.5" thickBot="1">
      <c r="B116" s="40">
        <f t="shared" si="1"/>
        <v>112</v>
      </c>
      <c r="C116" s="27" t="s">
        <v>385</v>
      </c>
      <c r="D116" s="71" t="s">
        <v>208</v>
      </c>
      <c r="E116" s="49" t="s">
        <v>865</v>
      </c>
      <c r="F116" s="49"/>
      <c r="G116" s="49" t="s">
        <v>1923</v>
      </c>
      <c r="H116" s="95" t="s">
        <v>1924</v>
      </c>
    </row>
    <row r="117" spans="2:9" s="25" customFormat="1" ht="16.5" thickBot="1">
      <c r="B117" s="40">
        <f t="shared" si="1"/>
        <v>113</v>
      </c>
      <c r="C117" s="27" t="s">
        <v>385</v>
      </c>
      <c r="D117" s="71" t="s">
        <v>208</v>
      </c>
      <c r="E117" s="49" t="s">
        <v>865</v>
      </c>
      <c r="F117" s="49"/>
      <c r="G117" s="49" t="s">
        <v>1929</v>
      </c>
      <c r="H117" s="95" t="s">
        <v>1928</v>
      </c>
    </row>
    <row r="118" spans="2:9" s="25" customFormat="1" ht="16.5" thickBot="1">
      <c r="B118" s="40">
        <f t="shared" si="1"/>
        <v>114</v>
      </c>
      <c r="C118" s="27" t="s">
        <v>385</v>
      </c>
      <c r="D118" s="71" t="s">
        <v>208</v>
      </c>
      <c r="E118" s="49" t="s">
        <v>865</v>
      </c>
      <c r="F118" s="49"/>
      <c r="G118" s="49" t="s">
        <v>1930</v>
      </c>
      <c r="H118" s="95" t="s">
        <v>1922</v>
      </c>
    </row>
    <row r="119" spans="2:9" s="25" customFormat="1" ht="16.5" thickBot="1">
      <c r="B119" s="40">
        <f t="shared" si="1"/>
        <v>115</v>
      </c>
      <c r="C119" s="27" t="s">
        <v>385</v>
      </c>
      <c r="D119" s="71" t="s">
        <v>208</v>
      </c>
      <c r="E119" s="49" t="s">
        <v>865</v>
      </c>
      <c r="F119" s="49"/>
      <c r="G119" s="49" t="s">
        <v>1931</v>
      </c>
      <c r="H119" s="95" t="s">
        <v>1932</v>
      </c>
    </row>
    <row r="120" spans="2:9" s="25" customFormat="1" ht="9" customHeight="1" thickBot="1">
      <c r="B120" s="23">
        <f t="shared" si="1"/>
        <v>116</v>
      </c>
      <c r="C120" s="43"/>
      <c r="D120" s="43"/>
      <c r="E120" s="43"/>
      <c r="F120" s="43"/>
      <c r="G120" s="43"/>
      <c r="H120" s="96"/>
    </row>
    <row r="121" spans="2:9" s="25" customFormat="1" ht="9" customHeight="1" thickBot="1">
      <c r="B121" s="23">
        <f t="shared" si="1"/>
        <v>117</v>
      </c>
      <c r="C121" s="37"/>
      <c r="D121" s="37"/>
      <c r="E121" s="37"/>
      <c r="F121" s="37"/>
      <c r="G121" s="38"/>
      <c r="H121" s="94"/>
    </row>
    <row r="122" spans="2:9" s="25" customFormat="1" ht="16.5" thickBot="1">
      <c r="B122" s="40">
        <f t="shared" si="1"/>
        <v>118</v>
      </c>
      <c r="C122" s="27" t="s">
        <v>385</v>
      </c>
      <c r="D122" s="29" t="s">
        <v>209</v>
      </c>
      <c r="E122" s="27" t="s">
        <v>865</v>
      </c>
      <c r="F122" s="27" t="s">
        <v>866</v>
      </c>
      <c r="G122" s="26"/>
      <c r="H122" s="88" t="s">
        <v>1934</v>
      </c>
    </row>
    <row r="123" spans="2:9" s="25" customFormat="1" ht="16.5" thickBot="1">
      <c r="B123" s="40">
        <f t="shared" si="1"/>
        <v>119</v>
      </c>
      <c r="C123" s="27" t="s">
        <v>385</v>
      </c>
      <c r="D123" s="29" t="s">
        <v>209</v>
      </c>
      <c r="E123" s="27" t="s">
        <v>865</v>
      </c>
      <c r="F123" s="27" t="s">
        <v>1728</v>
      </c>
      <c r="G123" s="26"/>
      <c r="H123" s="88" t="s">
        <v>3797</v>
      </c>
      <c r="I123" s="50" t="s">
        <v>1933</v>
      </c>
    </row>
    <row r="124" spans="2:9" s="25" customFormat="1" ht="16.5" thickBot="1">
      <c r="B124" s="40">
        <f t="shared" si="1"/>
        <v>120</v>
      </c>
      <c r="C124" s="27" t="s">
        <v>385</v>
      </c>
      <c r="D124" s="29" t="s">
        <v>209</v>
      </c>
      <c r="E124" s="27" t="s">
        <v>865</v>
      </c>
      <c r="F124" s="27" t="s">
        <v>1333</v>
      </c>
      <c r="G124" s="27" t="s">
        <v>870</v>
      </c>
      <c r="H124" s="89" t="s">
        <v>1935</v>
      </c>
    </row>
    <row r="125" spans="2:9" s="25" customFormat="1" ht="16.5" thickBot="1">
      <c r="B125" s="40">
        <f t="shared" si="1"/>
        <v>121</v>
      </c>
      <c r="C125" s="27" t="s">
        <v>385</v>
      </c>
      <c r="D125" s="29" t="s">
        <v>209</v>
      </c>
      <c r="E125" s="27" t="s">
        <v>865</v>
      </c>
      <c r="F125" s="27" t="s">
        <v>1333</v>
      </c>
      <c r="G125" s="27" t="s">
        <v>874</v>
      </c>
      <c r="H125" s="89" t="s">
        <v>1935</v>
      </c>
    </row>
    <row r="126" spans="2:9" s="25" customFormat="1" ht="16.5" thickBot="1">
      <c r="B126" s="40">
        <f t="shared" si="1"/>
        <v>122</v>
      </c>
      <c r="C126" s="27" t="s">
        <v>385</v>
      </c>
      <c r="D126" s="71" t="s">
        <v>209</v>
      </c>
      <c r="E126" s="27" t="s">
        <v>865</v>
      </c>
      <c r="F126" s="27"/>
      <c r="G126" s="27" t="s">
        <v>1937</v>
      </c>
      <c r="H126" s="89" t="s">
        <v>1936</v>
      </c>
    </row>
    <row r="127" spans="2:9" s="25" customFormat="1" ht="16.5" thickBot="1">
      <c r="B127" s="40">
        <f t="shared" si="1"/>
        <v>123</v>
      </c>
      <c r="C127" s="27" t="s">
        <v>385</v>
      </c>
      <c r="D127" s="71" t="s">
        <v>209</v>
      </c>
      <c r="E127" s="27" t="s">
        <v>865</v>
      </c>
      <c r="F127" s="27"/>
      <c r="G127" s="27" t="s">
        <v>1938</v>
      </c>
      <c r="H127" s="89" t="s">
        <v>1941</v>
      </c>
    </row>
    <row r="128" spans="2:9" s="25" customFormat="1" ht="16.5" thickBot="1">
      <c r="B128" s="40">
        <f t="shared" si="1"/>
        <v>124</v>
      </c>
      <c r="C128" s="27" t="s">
        <v>385</v>
      </c>
      <c r="D128" s="71" t="s">
        <v>209</v>
      </c>
      <c r="E128" s="27" t="s">
        <v>865</v>
      </c>
      <c r="F128" s="27"/>
      <c r="G128" s="27" t="s">
        <v>1940</v>
      </c>
      <c r="H128" s="89" t="s">
        <v>1939</v>
      </c>
    </row>
    <row r="129" spans="2:9" s="25" customFormat="1" ht="9" customHeight="1" thickBot="1">
      <c r="B129" s="23">
        <f t="shared" si="1"/>
        <v>125</v>
      </c>
      <c r="C129" s="43"/>
      <c r="D129" s="43"/>
      <c r="E129" s="43"/>
      <c r="F129" s="43"/>
      <c r="G129" s="43"/>
      <c r="H129" s="94"/>
    </row>
    <row r="130" spans="2:9" s="25" customFormat="1" ht="9" customHeight="1" thickBot="1">
      <c r="B130" s="23">
        <f t="shared" si="1"/>
        <v>126</v>
      </c>
      <c r="C130" s="37"/>
      <c r="D130" s="37"/>
      <c r="E130" s="37"/>
      <c r="F130" s="37"/>
      <c r="G130" s="38"/>
      <c r="H130" s="94"/>
    </row>
    <row r="131" spans="2:9" s="25" customFormat="1" ht="16.5" thickBot="1">
      <c r="B131" s="40">
        <f t="shared" si="1"/>
        <v>127</v>
      </c>
      <c r="C131" s="27" t="s">
        <v>385</v>
      </c>
      <c r="D131" s="29" t="s">
        <v>210</v>
      </c>
      <c r="E131" s="27" t="s">
        <v>865</v>
      </c>
      <c r="F131" s="27" t="s">
        <v>866</v>
      </c>
      <c r="G131" s="26"/>
      <c r="H131" s="88" t="s">
        <v>3798</v>
      </c>
    </row>
    <row r="132" spans="2:9" s="25" customFormat="1" ht="16.5" thickBot="1">
      <c r="B132" s="40">
        <f t="shared" si="1"/>
        <v>128</v>
      </c>
      <c r="C132" s="27" t="s">
        <v>385</v>
      </c>
      <c r="D132" s="29" t="s">
        <v>210</v>
      </c>
      <c r="E132" s="27" t="s">
        <v>865</v>
      </c>
      <c r="F132" s="27" t="s">
        <v>1728</v>
      </c>
      <c r="G132" s="26"/>
      <c r="H132" s="88" t="s">
        <v>3799</v>
      </c>
      <c r="I132" s="50" t="s">
        <v>1942</v>
      </c>
    </row>
    <row r="133" spans="2:9" s="25" customFormat="1" ht="16.5" thickBot="1">
      <c r="B133" s="40">
        <f t="shared" si="1"/>
        <v>129</v>
      </c>
      <c r="C133" s="27" t="s">
        <v>385</v>
      </c>
      <c r="D133" s="29" t="s">
        <v>210</v>
      </c>
      <c r="E133" s="27" t="s">
        <v>865</v>
      </c>
      <c r="F133" s="27" t="s">
        <v>1333</v>
      </c>
      <c r="G133" s="27" t="s">
        <v>1944</v>
      </c>
      <c r="H133" s="89" t="s">
        <v>1943</v>
      </c>
    </row>
    <row r="134" spans="2:9" s="25" customFormat="1" ht="16.5" thickBot="1">
      <c r="B134" s="40">
        <f t="shared" si="1"/>
        <v>130</v>
      </c>
      <c r="C134" s="27" t="s">
        <v>385</v>
      </c>
      <c r="D134" s="29" t="s">
        <v>210</v>
      </c>
      <c r="E134" s="27" t="s">
        <v>865</v>
      </c>
      <c r="F134" s="27" t="s">
        <v>1333</v>
      </c>
      <c r="G134" s="27" t="s">
        <v>1945</v>
      </c>
      <c r="H134" s="89" t="s">
        <v>1943</v>
      </c>
    </row>
    <row r="135" spans="2:9" s="25" customFormat="1" ht="16.5" thickBot="1">
      <c r="B135" s="40">
        <f t="shared" si="1"/>
        <v>131</v>
      </c>
      <c r="C135" s="27" t="s">
        <v>385</v>
      </c>
      <c r="D135" s="29" t="s">
        <v>210</v>
      </c>
      <c r="E135" s="27" t="s">
        <v>865</v>
      </c>
      <c r="F135" s="27" t="s">
        <v>1333</v>
      </c>
      <c r="G135" s="27" t="s">
        <v>1947</v>
      </c>
      <c r="H135" s="89" t="s">
        <v>1946</v>
      </c>
    </row>
    <row r="136" spans="2:9" s="25" customFormat="1" ht="16.5" thickBot="1">
      <c r="B136" s="40">
        <f t="shared" si="1"/>
        <v>132</v>
      </c>
      <c r="C136" s="27" t="s">
        <v>385</v>
      </c>
      <c r="D136" s="29" t="s">
        <v>210</v>
      </c>
      <c r="E136" s="27" t="s">
        <v>865</v>
      </c>
      <c r="F136" s="27" t="s">
        <v>1333</v>
      </c>
      <c r="G136" s="27" t="s">
        <v>1949</v>
      </c>
      <c r="H136" s="89" t="s">
        <v>1948</v>
      </c>
    </row>
    <row r="137" spans="2:9" s="25" customFormat="1" ht="16.5" thickBot="1">
      <c r="B137" s="40">
        <f t="shared" si="1"/>
        <v>133</v>
      </c>
      <c r="C137" s="27" t="s">
        <v>385</v>
      </c>
      <c r="D137" s="71" t="s">
        <v>210</v>
      </c>
      <c r="E137" s="49" t="s">
        <v>865</v>
      </c>
      <c r="F137" s="49"/>
      <c r="G137" s="49" t="s">
        <v>1951</v>
      </c>
      <c r="H137" s="90" t="s">
        <v>1950</v>
      </c>
    </row>
    <row r="138" spans="2:9" s="25" customFormat="1" ht="16.5" thickBot="1">
      <c r="B138" s="40">
        <f t="shared" si="1"/>
        <v>134</v>
      </c>
      <c r="C138" s="27" t="s">
        <v>385</v>
      </c>
      <c r="D138" s="71" t="s">
        <v>210</v>
      </c>
      <c r="E138" s="49" t="s">
        <v>865</v>
      </c>
      <c r="F138" s="49"/>
      <c r="G138" s="49" t="s">
        <v>1953</v>
      </c>
      <c r="H138" s="95" t="s">
        <v>1952</v>
      </c>
    </row>
    <row r="139" spans="2:9" s="25" customFormat="1" ht="16.5" thickBot="1">
      <c r="B139" s="40">
        <f t="shared" si="1"/>
        <v>135</v>
      </c>
      <c r="C139" s="27" t="s">
        <v>385</v>
      </c>
      <c r="D139" s="71" t="s">
        <v>210</v>
      </c>
      <c r="E139" s="49" t="s">
        <v>865</v>
      </c>
      <c r="F139" s="49"/>
      <c r="G139" s="49" t="s">
        <v>1955</v>
      </c>
      <c r="H139" s="95" t="s">
        <v>1954</v>
      </c>
    </row>
    <row r="140" spans="2:9" s="25" customFormat="1" ht="32.25" thickBot="1">
      <c r="B140" s="40">
        <f t="shared" si="1"/>
        <v>136</v>
      </c>
      <c r="C140" s="27" t="s">
        <v>385</v>
      </c>
      <c r="D140" s="71" t="s">
        <v>210</v>
      </c>
      <c r="E140" s="49" t="s">
        <v>865</v>
      </c>
      <c r="F140" s="49"/>
      <c r="G140" s="49" t="s">
        <v>1956</v>
      </c>
      <c r="H140" s="95" t="s">
        <v>1957</v>
      </c>
    </row>
    <row r="141" spans="2:9" s="25" customFormat="1" ht="32.25" thickBot="1">
      <c r="B141" s="40">
        <f t="shared" si="1"/>
        <v>137</v>
      </c>
      <c r="C141" s="27" t="s">
        <v>385</v>
      </c>
      <c r="D141" s="71" t="s">
        <v>210</v>
      </c>
      <c r="E141" s="49" t="s">
        <v>865</v>
      </c>
      <c r="F141" s="49"/>
      <c r="G141" s="49" t="s">
        <v>1958</v>
      </c>
      <c r="H141" s="95" t="s">
        <v>1957</v>
      </c>
    </row>
    <row r="142" spans="2:9" s="25" customFormat="1" ht="16.5" thickBot="1">
      <c r="B142" s="40">
        <f t="shared" si="1"/>
        <v>138</v>
      </c>
      <c r="C142" s="27" t="s">
        <v>385</v>
      </c>
      <c r="D142" s="71" t="s">
        <v>210</v>
      </c>
      <c r="E142" s="49" t="s">
        <v>865</v>
      </c>
      <c r="F142" s="49"/>
      <c r="G142" s="49" t="s">
        <v>1960</v>
      </c>
      <c r="H142" s="95" t="s">
        <v>1959</v>
      </c>
    </row>
    <row r="143" spans="2:9" s="25" customFormat="1" ht="32.25" thickBot="1">
      <c r="B143" s="40">
        <f t="shared" si="1"/>
        <v>139</v>
      </c>
      <c r="C143" s="27" t="s">
        <v>385</v>
      </c>
      <c r="D143" s="71" t="s">
        <v>210</v>
      </c>
      <c r="E143" s="49" t="s">
        <v>865</v>
      </c>
      <c r="F143" s="49"/>
      <c r="G143" s="49" t="s">
        <v>1962</v>
      </c>
      <c r="H143" s="95" t="s">
        <v>1961</v>
      </c>
    </row>
    <row r="144" spans="2:9" s="25" customFormat="1" ht="16.5" thickBot="1">
      <c r="B144" s="40">
        <f t="shared" si="1"/>
        <v>140</v>
      </c>
      <c r="C144" s="27" t="s">
        <v>385</v>
      </c>
      <c r="D144" s="71" t="s">
        <v>210</v>
      </c>
      <c r="E144" s="49" t="s">
        <v>865</v>
      </c>
      <c r="F144" s="49"/>
      <c r="G144" s="49" t="s">
        <v>1963</v>
      </c>
      <c r="H144" s="95" t="s">
        <v>1964</v>
      </c>
    </row>
    <row r="145" spans="2:9" s="25" customFormat="1" ht="16.5" thickBot="1">
      <c r="B145" s="40">
        <f t="shared" si="1"/>
        <v>141</v>
      </c>
      <c r="C145" s="27" t="s">
        <v>385</v>
      </c>
      <c r="D145" s="71" t="s">
        <v>210</v>
      </c>
      <c r="E145" s="49" t="s">
        <v>865</v>
      </c>
      <c r="F145" s="49"/>
      <c r="G145" s="49" t="s">
        <v>1965</v>
      </c>
      <c r="H145" s="95" t="s">
        <v>1964</v>
      </c>
    </row>
    <row r="146" spans="2:9" s="25" customFormat="1" ht="16.5" thickBot="1">
      <c r="B146" s="40">
        <f t="shared" si="1"/>
        <v>142</v>
      </c>
      <c r="C146" s="27" t="s">
        <v>385</v>
      </c>
      <c r="D146" s="71" t="s">
        <v>210</v>
      </c>
      <c r="E146" s="49" t="s">
        <v>865</v>
      </c>
      <c r="F146" s="49"/>
      <c r="G146" s="49" t="s">
        <v>1967</v>
      </c>
      <c r="H146" s="95" t="s">
        <v>1966</v>
      </c>
    </row>
    <row r="147" spans="2:9" s="25" customFormat="1" ht="9" customHeight="1" thickBot="1">
      <c r="B147" s="23">
        <f t="shared" si="1"/>
        <v>143</v>
      </c>
      <c r="C147" s="43"/>
      <c r="D147" s="43"/>
      <c r="E147" s="43"/>
      <c r="F147" s="43"/>
      <c r="G147" s="43"/>
      <c r="H147" s="96"/>
    </row>
    <row r="148" spans="2:9" s="25" customFormat="1" ht="9" customHeight="1" thickBot="1">
      <c r="B148" s="23">
        <f t="shared" si="1"/>
        <v>144</v>
      </c>
      <c r="C148" s="37"/>
      <c r="D148" s="37"/>
      <c r="E148" s="37"/>
      <c r="F148" s="37"/>
      <c r="G148" s="38"/>
      <c r="H148" s="94"/>
    </row>
    <row r="149" spans="2:9" s="25" customFormat="1" ht="16.5" thickBot="1">
      <c r="B149" s="40">
        <f t="shared" si="1"/>
        <v>145</v>
      </c>
      <c r="C149" s="27" t="s">
        <v>385</v>
      </c>
      <c r="D149" s="29" t="s">
        <v>211</v>
      </c>
      <c r="E149" s="27" t="s">
        <v>865</v>
      </c>
      <c r="F149" s="27" t="s">
        <v>866</v>
      </c>
      <c r="G149" s="26"/>
      <c r="H149" s="88" t="s">
        <v>3800</v>
      </c>
    </row>
    <row r="150" spans="2:9" s="25" customFormat="1" ht="16.5" thickBot="1">
      <c r="B150" s="40">
        <f t="shared" si="1"/>
        <v>146</v>
      </c>
      <c r="C150" s="27" t="s">
        <v>385</v>
      </c>
      <c r="D150" s="29" t="s">
        <v>211</v>
      </c>
      <c r="E150" s="27" t="s">
        <v>865</v>
      </c>
      <c r="F150" s="27" t="s">
        <v>1728</v>
      </c>
      <c r="G150" s="26"/>
      <c r="H150" s="88" t="s">
        <v>3801</v>
      </c>
      <c r="I150" s="50" t="s">
        <v>1968</v>
      </c>
    </row>
    <row r="151" spans="2:9" s="25" customFormat="1" ht="16.5" thickBot="1">
      <c r="B151" s="40">
        <f t="shared" si="1"/>
        <v>147</v>
      </c>
      <c r="C151" s="27" t="s">
        <v>385</v>
      </c>
      <c r="D151" s="29" t="s">
        <v>211</v>
      </c>
      <c r="E151" s="27" t="s">
        <v>865</v>
      </c>
      <c r="F151" s="27" t="s">
        <v>1333</v>
      </c>
      <c r="G151" s="27" t="s">
        <v>951</v>
      </c>
      <c r="H151" s="89" t="s">
        <v>1969</v>
      </c>
    </row>
    <row r="152" spans="2:9" s="25" customFormat="1" ht="16.5" thickBot="1">
      <c r="B152" s="40">
        <f t="shared" si="1"/>
        <v>148</v>
      </c>
      <c r="C152" s="27" t="s">
        <v>385</v>
      </c>
      <c r="D152" s="29" t="s">
        <v>211</v>
      </c>
      <c r="E152" s="27" t="s">
        <v>865</v>
      </c>
      <c r="F152" s="27" t="s">
        <v>1333</v>
      </c>
      <c r="G152" s="27" t="s">
        <v>949</v>
      </c>
      <c r="H152" s="88" t="s">
        <v>1970</v>
      </c>
    </row>
    <row r="153" spans="2:9" s="25" customFormat="1" ht="16.5" thickBot="1">
      <c r="B153" s="40">
        <f t="shared" si="1"/>
        <v>149</v>
      </c>
      <c r="C153" s="27" t="s">
        <v>385</v>
      </c>
      <c r="D153" s="71" t="s">
        <v>211</v>
      </c>
      <c r="E153" s="27" t="s">
        <v>865</v>
      </c>
      <c r="F153" s="27"/>
      <c r="G153" s="27" t="s">
        <v>1973</v>
      </c>
      <c r="H153" s="88" t="s">
        <v>1972</v>
      </c>
    </row>
    <row r="154" spans="2:9" s="25" customFormat="1" ht="16.5" thickBot="1">
      <c r="B154" s="40">
        <f t="shared" si="1"/>
        <v>150</v>
      </c>
      <c r="C154" s="27" t="s">
        <v>385</v>
      </c>
      <c r="D154" s="71" t="s">
        <v>211</v>
      </c>
      <c r="E154" s="27" t="s">
        <v>865</v>
      </c>
      <c r="F154" s="27"/>
      <c r="G154" s="27" t="s">
        <v>1975</v>
      </c>
      <c r="H154" s="88" t="s">
        <v>1974</v>
      </c>
    </row>
    <row r="155" spans="2:9" s="25" customFormat="1" ht="16.5" thickBot="1">
      <c r="B155" s="40">
        <f t="shared" si="1"/>
        <v>151</v>
      </c>
      <c r="C155" s="27" t="s">
        <v>385</v>
      </c>
      <c r="D155" s="71" t="s">
        <v>211</v>
      </c>
      <c r="E155" s="27" t="s">
        <v>865</v>
      </c>
      <c r="F155" s="27"/>
      <c r="G155" s="27" t="s">
        <v>1977</v>
      </c>
      <c r="H155" s="88" t="s">
        <v>1976</v>
      </c>
    </row>
    <row r="156" spans="2:9" s="25" customFormat="1" ht="16.5" thickBot="1">
      <c r="B156" s="40">
        <f t="shared" si="1"/>
        <v>152</v>
      </c>
      <c r="C156" s="27" t="s">
        <v>385</v>
      </c>
      <c r="D156" s="71" t="s">
        <v>211</v>
      </c>
      <c r="E156" s="27" t="s">
        <v>865</v>
      </c>
      <c r="F156" s="27"/>
      <c r="G156" s="27" t="s">
        <v>1979</v>
      </c>
      <c r="H156" s="88" t="s">
        <v>1978</v>
      </c>
    </row>
    <row r="157" spans="2:9" s="25" customFormat="1" ht="16.5" thickBot="1">
      <c r="B157" s="40">
        <f t="shared" si="1"/>
        <v>153</v>
      </c>
      <c r="C157" s="27" t="s">
        <v>385</v>
      </c>
      <c r="D157" s="71" t="s">
        <v>211</v>
      </c>
      <c r="E157" s="27" t="s">
        <v>865</v>
      </c>
      <c r="F157" s="27"/>
      <c r="G157" s="27" t="s">
        <v>1971</v>
      </c>
      <c r="H157" s="88" t="s">
        <v>1981</v>
      </c>
    </row>
    <row r="158" spans="2:9" s="25" customFormat="1" ht="16.5" thickBot="1">
      <c r="B158" s="40">
        <f t="shared" si="1"/>
        <v>154</v>
      </c>
      <c r="C158" s="27" t="s">
        <v>385</v>
      </c>
      <c r="D158" s="71" t="s">
        <v>211</v>
      </c>
      <c r="E158" s="27" t="s">
        <v>865</v>
      </c>
      <c r="F158" s="27"/>
      <c r="G158" s="27" t="s">
        <v>1980</v>
      </c>
      <c r="H158" s="88" t="s">
        <v>1982</v>
      </c>
    </row>
    <row r="159" spans="2:9" s="25" customFormat="1" ht="9" customHeight="1" thickBot="1">
      <c r="B159" s="23">
        <f t="shared" si="1"/>
        <v>155</v>
      </c>
      <c r="C159" s="43"/>
      <c r="D159" s="43"/>
      <c r="E159" s="43"/>
      <c r="F159" s="43"/>
      <c r="G159" s="43"/>
      <c r="H159" s="94"/>
    </row>
    <row r="160" spans="2:9" s="25" customFormat="1" ht="9" customHeight="1" thickBot="1">
      <c r="B160" s="23">
        <f t="shared" si="1"/>
        <v>156</v>
      </c>
      <c r="C160" s="37"/>
      <c r="D160" s="37"/>
      <c r="E160" s="37"/>
      <c r="F160" s="37"/>
      <c r="G160" s="38"/>
      <c r="H160" s="94"/>
    </row>
    <row r="161" spans="2:9" s="25" customFormat="1" ht="16.5" thickBot="1">
      <c r="B161" s="40">
        <f t="shared" si="1"/>
        <v>157</v>
      </c>
      <c r="C161" s="27" t="s">
        <v>385</v>
      </c>
      <c r="D161" s="29" t="s">
        <v>212</v>
      </c>
      <c r="E161" s="27" t="s">
        <v>865</v>
      </c>
      <c r="F161" s="27" t="s">
        <v>866</v>
      </c>
      <c r="G161" s="26"/>
      <c r="H161" s="88" t="s">
        <v>3802</v>
      </c>
    </row>
    <row r="162" spans="2:9" s="25" customFormat="1" ht="16.5" thickBot="1">
      <c r="B162" s="40">
        <f t="shared" si="1"/>
        <v>158</v>
      </c>
      <c r="C162" s="27" t="s">
        <v>385</v>
      </c>
      <c r="D162" s="29" t="s">
        <v>212</v>
      </c>
      <c r="E162" s="27" t="s">
        <v>865</v>
      </c>
      <c r="F162" s="27" t="s">
        <v>1728</v>
      </c>
      <c r="G162" s="26"/>
      <c r="H162" s="88" t="s">
        <v>3803</v>
      </c>
      <c r="I162" s="50" t="s">
        <v>1983</v>
      </c>
    </row>
    <row r="163" spans="2:9" s="25" customFormat="1" ht="16.5" thickBot="1">
      <c r="B163" s="40">
        <f t="shared" si="1"/>
        <v>159</v>
      </c>
      <c r="C163" s="27" t="s">
        <v>385</v>
      </c>
      <c r="D163" s="29" t="s">
        <v>212</v>
      </c>
      <c r="E163" s="27" t="s">
        <v>865</v>
      </c>
      <c r="F163" s="27" t="s">
        <v>1333</v>
      </c>
      <c r="G163" s="27" t="s">
        <v>1985</v>
      </c>
      <c r="H163" s="89" t="s">
        <v>1984</v>
      </c>
    </row>
    <row r="164" spans="2:9" s="25" customFormat="1" ht="16.5" thickBot="1">
      <c r="B164" s="40">
        <f t="shared" si="1"/>
        <v>160</v>
      </c>
      <c r="C164" s="27" t="s">
        <v>385</v>
      </c>
      <c r="D164" s="29" t="s">
        <v>212</v>
      </c>
      <c r="E164" s="27" t="s">
        <v>865</v>
      </c>
      <c r="F164" s="27" t="s">
        <v>1333</v>
      </c>
      <c r="G164" s="27" t="s">
        <v>1987</v>
      </c>
      <c r="H164" s="89" t="s">
        <v>1986</v>
      </c>
    </row>
    <row r="165" spans="2:9" s="25" customFormat="1" ht="16.5" thickBot="1">
      <c r="B165" s="40">
        <f t="shared" si="1"/>
        <v>161</v>
      </c>
      <c r="C165" s="27" t="s">
        <v>385</v>
      </c>
      <c r="D165" s="29" t="s">
        <v>212</v>
      </c>
      <c r="E165" s="27" t="s">
        <v>865</v>
      </c>
      <c r="F165" s="27" t="s">
        <v>1333</v>
      </c>
      <c r="G165" s="27" t="s">
        <v>1989</v>
      </c>
      <c r="H165" s="89" t="s">
        <v>1988</v>
      </c>
    </row>
    <row r="166" spans="2:9" s="25" customFormat="1" ht="16.5" thickBot="1">
      <c r="B166" s="40">
        <f t="shared" si="1"/>
        <v>162</v>
      </c>
      <c r="C166" s="27" t="s">
        <v>385</v>
      </c>
      <c r="D166" s="29" t="s">
        <v>212</v>
      </c>
      <c r="E166" s="27" t="s">
        <v>865</v>
      </c>
      <c r="F166" s="27" t="s">
        <v>1333</v>
      </c>
      <c r="G166" s="27" t="s">
        <v>1991</v>
      </c>
      <c r="H166" s="89" t="s">
        <v>1990</v>
      </c>
    </row>
    <row r="167" spans="2:9" s="25" customFormat="1" ht="16.5" thickBot="1">
      <c r="B167" s="40">
        <f t="shared" si="1"/>
        <v>163</v>
      </c>
      <c r="C167" s="27" t="s">
        <v>385</v>
      </c>
      <c r="D167" s="71" t="s">
        <v>212</v>
      </c>
      <c r="E167" s="49" t="s">
        <v>865</v>
      </c>
      <c r="F167" s="49"/>
      <c r="G167" s="49" t="s">
        <v>1993</v>
      </c>
      <c r="H167" s="90" t="s">
        <v>1992</v>
      </c>
    </row>
    <row r="168" spans="2:9" s="25" customFormat="1" ht="16.5" thickBot="1">
      <c r="B168" s="40">
        <f t="shared" si="1"/>
        <v>164</v>
      </c>
      <c r="C168" s="27" t="s">
        <v>385</v>
      </c>
      <c r="D168" s="71" t="s">
        <v>212</v>
      </c>
      <c r="E168" s="49" t="s">
        <v>865</v>
      </c>
      <c r="F168" s="49"/>
      <c r="G168" s="49" t="s">
        <v>1994</v>
      </c>
      <c r="H168" s="95" t="s">
        <v>2003</v>
      </c>
    </row>
    <row r="169" spans="2:9" s="25" customFormat="1" ht="16.5" thickBot="1">
      <c r="B169" s="40">
        <f t="shared" si="1"/>
        <v>165</v>
      </c>
      <c r="C169" s="27" t="s">
        <v>385</v>
      </c>
      <c r="D169" s="71" t="s">
        <v>212</v>
      </c>
      <c r="E169" s="49" t="s">
        <v>865</v>
      </c>
      <c r="F169" s="49"/>
      <c r="G169" s="49" t="s">
        <v>1995</v>
      </c>
      <c r="H169" s="95" t="s">
        <v>1996</v>
      </c>
    </row>
    <row r="170" spans="2:9" s="25" customFormat="1" ht="16.5" thickBot="1">
      <c r="B170" s="40">
        <f t="shared" si="1"/>
        <v>166</v>
      </c>
      <c r="C170" s="27" t="s">
        <v>385</v>
      </c>
      <c r="D170" s="71" t="s">
        <v>212</v>
      </c>
      <c r="E170" s="49" t="s">
        <v>865</v>
      </c>
      <c r="F170" s="49"/>
      <c r="G170" s="49" t="s">
        <v>1997</v>
      </c>
      <c r="H170" s="95" t="s">
        <v>1998</v>
      </c>
    </row>
    <row r="171" spans="2:9" s="25" customFormat="1" ht="16.5" thickBot="1">
      <c r="B171" s="40">
        <f t="shared" si="1"/>
        <v>167</v>
      </c>
      <c r="C171" s="27" t="s">
        <v>385</v>
      </c>
      <c r="D171" s="71" t="s">
        <v>212</v>
      </c>
      <c r="E171" s="49" t="s">
        <v>865</v>
      </c>
      <c r="F171" s="49"/>
      <c r="G171" s="49" t="s">
        <v>2000</v>
      </c>
      <c r="H171" s="95" t="s">
        <v>1999</v>
      </c>
    </row>
    <row r="172" spans="2:9" s="25" customFormat="1" ht="16.5" thickBot="1">
      <c r="B172" s="40">
        <f t="shared" si="1"/>
        <v>168</v>
      </c>
      <c r="C172" s="27" t="s">
        <v>385</v>
      </c>
      <c r="D172" s="71" t="s">
        <v>212</v>
      </c>
      <c r="E172" s="49" t="s">
        <v>865</v>
      </c>
      <c r="F172" s="49"/>
      <c r="G172" s="49" t="s">
        <v>2002</v>
      </c>
      <c r="H172" s="95" t="s">
        <v>2001</v>
      </c>
    </row>
    <row r="173" spans="2:9" s="25" customFormat="1" ht="9" customHeight="1" thickBot="1">
      <c r="B173" s="23">
        <f t="shared" si="1"/>
        <v>169</v>
      </c>
      <c r="C173" s="43"/>
      <c r="D173" s="43"/>
      <c r="E173" s="43"/>
      <c r="F173" s="43"/>
      <c r="G173" s="43"/>
      <c r="H173" s="96"/>
    </row>
    <row r="174" spans="2:9" s="25" customFormat="1" ht="9" customHeight="1" thickBot="1">
      <c r="B174" s="23">
        <f t="shared" si="1"/>
        <v>170</v>
      </c>
      <c r="C174" s="37"/>
      <c r="D174" s="37"/>
      <c r="E174" s="37"/>
      <c r="F174" s="37"/>
      <c r="G174" s="38"/>
      <c r="H174" s="94"/>
    </row>
    <row r="175" spans="2:9" s="25" customFormat="1" ht="16.5" thickBot="1">
      <c r="B175" s="40">
        <f t="shared" si="1"/>
        <v>171</v>
      </c>
      <c r="C175" s="27" t="s">
        <v>385</v>
      </c>
      <c r="D175" s="29" t="s">
        <v>213</v>
      </c>
      <c r="E175" s="27" t="s">
        <v>865</v>
      </c>
      <c r="F175" s="27" t="s">
        <v>866</v>
      </c>
      <c r="G175" s="26"/>
      <c r="H175" s="88" t="s">
        <v>995</v>
      </c>
    </row>
    <row r="176" spans="2:9" s="25" customFormat="1" ht="16.5" thickBot="1">
      <c r="B176" s="40">
        <f t="shared" ref="B176:B238" si="2">B175+1</f>
        <v>172</v>
      </c>
      <c r="C176" s="27" t="s">
        <v>385</v>
      </c>
      <c r="D176" s="29" t="s">
        <v>213</v>
      </c>
      <c r="E176" s="27" t="s">
        <v>865</v>
      </c>
      <c r="F176" s="27" t="s">
        <v>1728</v>
      </c>
      <c r="G176" s="26"/>
      <c r="H176" s="88" t="s">
        <v>3804</v>
      </c>
      <c r="I176" s="50" t="s">
        <v>996</v>
      </c>
    </row>
    <row r="177" spans="2:9" s="25" customFormat="1" ht="16.5" thickBot="1">
      <c r="B177" s="40">
        <f t="shared" si="2"/>
        <v>173</v>
      </c>
      <c r="C177" s="27" t="s">
        <v>385</v>
      </c>
      <c r="D177" s="29" t="s">
        <v>213</v>
      </c>
      <c r="E177" s="27" t="s">
        <v>865</v>
      </c>
      <c r="F177" s="27" t="s">
        <v>1333</v>
      </c>
      <c r="G177" s="27" t="s">
        <v>997</v>
      </c>
      <c r="H177" s="89" t="s">
        <v>998</v>
      </c>
    </row>
    <row r="178" spans="2:9" s="25" customFormat="1" ht="16.5" thickBot="1">
      <c r="B178" s="40">
        <f t="shared" si="2"/>
        <v>174</v>
      </c>
      <c r="C178" s="27" t="s">
        <v>385</v>
      </c>
      <c r="D178" s="29" t="s">
        <v>213</v>
      </c>
      <c r="E178" s="27" t="s">
        <v>865</v>
      </c>
      <c r="F178" s="27" t="s">
        <v>1333</v>
      </c>
      <c r="G178" s="27" t="s">
        <v>999</v>
      </c>
      <c r="H178" s="89" t="s">
        <v>1000</v>
      </c>
    </row>
    <row r="179" spans="2:9" s="25" customFormat="1" ht="16.5" thickBot="1">
      <c r="B179" s="40">
        <f t="shared" si="2"/>
        <v>175</v>
      </c>
      <c r="C179" s="27" t="s">
        <v>385</v>
      </c>
      <c r="D179" s="29" t="s">
        <v>213</v>
      </c>
      <c r="E179" s="27" t="s">
        <v>865</v>
      </c>
      <c r="F179" s="27" t="s">
        <v>1333</v>
      </c>
      <c r="G179" s="27" t="s">
        <v>971</v>
      </c>
      <c r="H179" s="89" t="s">
        <v>1001</v>
      </c>
    </row>
    <row r="180" spans="2:9" s="25" customFormat="1" ht="32.25" thickBot="1">
      <c r="B180" s="40">
        <f t="shared" si="2"/>
        <v>176</v>
      </c>
      <c r="C180" s="27" t="s">
        <v>385</v>
      </c>
      <c r="D180" s="82" t="s">
        <v>213</v>
      </c>
      <c r="E180" s="27" t="s">
        <v>865</v>
      </c>
      <c r="F180" s="49"/>
      <c r="G180" s="27" t="s">
        <v>2005</v>
      </c>
      <c r="H180" s="89" t="s">
        <v>2004</v>
      </c>
    </row>
    <row r="181" spans="2:9" s="25" customFormat="1" ht="32.25" thickBot="1">
      <c r="B181" s="40">
        <f t="shared" si="2"/>
        <v>177</v>
      </c>
      <c r="C181" s="27" t="s">
        <v>385</v>
      </c>
      <c r="D181" s="82" t="s">
        <v>213</v>
      </c>
      <c r="E181" s="27" t="s">
        <v>880</v>
      </c>
      <c r="F181" s="27" t="s">
        <v>1765</v>
      </c>
      <c r="G181" s="27" t="s">
        <v>2007</v>
      </c>
      <c r="H181" s="104" t="s">
        <v>2006</v>
      </c>
    </row>
    <row r="182" spans="2:9" s="25" customFormat="1" ht="16.5" thickBot="1">
      <c r="B182" s="40">
        <f t="shared" si="2"/>
        <v>178</v>
      </c>
      <c r="C182" s="27" t="s">
        <v>385</v>
      </c>
      <c r="D182" s="71" t="s">
        <v>213</v>
      </c>
      <c r="E182" s="27" t="s">
        <v>865</v>
      </c>
      <c r="F182" s="49"/>
      <c r="G182" s="27" t="s">
        <v>1993</v>
      </c>
      <c r="H182" s="89" t="s">
        <v>2008</v>
      </c>
    </row>
    <row r="183" spans="2:9" s="25" customFormat="1" ht="9" customHeight="1" thickBot="1">
      <c r="B183" s="23">
        <f t="shared" si="2"/>
        <v>179</v>
      </c>
      <c r="C183" s="43"/>
      <c r="D183" s="43"/>
      <c r="E183" s="43"/>
      <c r="F183" s="43"/>
      <c r="G183" s="43"/>
      <c r="H183" s="94"/>
    </row>
    <row r="184" spans="2:9" s="25" customFormat="1" ht="9" customHeight="1" thickBot="1">
      <c r="B184" s="23">
        <f t="shared" si="2"/>
        <v>180</v>
      </c>
      <c r="C184" s="37"/>
      <c r="D184" s="37"/>
      <c r="E184" s="37"/>
      <c r="F184" s="37"/>
      <c r="G184" s="38"/>
      <c r="H184" s="94"/>
    </row>
    <row r="185" spans="2:9" s="25" customFormat="1" ht="16.5" thickBot="1">
      <c r="B185" s="40">
        <f t="shared" si="2"/>
        <v>181</v>
      </c>
      <c r="C185" s="27" t="s">
        <v>385</v>
      </c>
      <c r="D185" s="29" t="s">
        <v>214</v>
      </c>
      <c r="E185" s="27" t="s">
        <v>865</v>
      </c>
      <c r="F185" s="27" t="s">
        <v>866</v>
      </c>
      <c r="G185" s="26"/>
      <c r="H185" s="88" t="s">
        <v>2011</v>
      </c>
    </row>
    <row r="186" spans="2:9" s="25" customFormat="1" ht="16.5" thickBot="1">
      <c r="B186" s="40">
        <f t="shared" si="2"/>
        <v>182</v>
      </c>
      <c r="C186" s="27" t="s">
        <v>385</v>
      </c>
      <c r="D186" s="29" t="s">
        <v>214</v>
      </c>
      <c r="E186" s="27" t="s">
        <v>865</v>
      </c>
      <c r="F186" s="27" t="s">
        <v>1728</v>
      </c>
      <c r="G186" s="26"/>
      <c r="H186" s="88" t="s">
        <v>2010</v>
      </c>
      <c r="I186" s="50" t="s">
        <v>2009</v>
      </c>
    </row>
    <row r="187" spans="2:9" s="25" customFormat="1" ht="16.5" thickBot="1">
      <c r="B187" s="40">
        <f t="shared" si="2"/>
        <v>183</v>
      </c>
      <c r="C187" s="27" t="s">
        <v>385</v>
      </c>
      <c r="D187" s="29" t="s">
        <v>214</v>
      </c>
      <c r="E187" s="27" t="s">
        <v>865</v>
      </c>
      <c r="F187" s="27" t="s">
        <v>1333</v>
      </c>
      <c r="G187" s="27" t="s">
        <v>870</v>
      </c>
      <c r="H187" s="89" t="s">
        <v>2012</v>
      </c>
    </row>
    <row r="188" spans="2:9" s="25" customFormat="1" ht="16.5" thickBot="1">
      <c r="B188" s="40">
        <f t="shared" si="2"/>
        <v>184</v>
      </c>
      <c r="C188" s="27" t="s">
        <v>385</v>
      </c>
      <c r="D188" s="29" t="s">
        <v>214</v>
      </c>
      <c r="E188" s="27" t="s">
        <v>865</v>
      </c>
      <c r="F188" s="27" t="s">
        <v>1333</v>
      </c>
      <c r="G188" s="27" t="s">
        <v>874</v>
      </c>
      <c r="H188" s="89" t="s">
        <v>3805</v>
      </c>
    </row>
    <row r="189" spans="2:9" s="25" customFormat="1" ht="16.5" thickBot="1">
      <c r="B189" s="40">
        <f t="shared" si="2"/>
        <v>185</v>
      </c>
      <c r="C189" s="27" t="s">
        <v>385</v>
      </c>
      <c r="D189" s="71" t="s">
        <v>214</v>
      </c>
      <c r="E189" s="27" t="s">
        <v>865</v>
      </c>
      <c r="F189" s="49"/>
      <c r="G189" s="27" t="s">
        <v>2015</v>
      </c>
      <c r="H189" s="89" t="s">
        <v>3806</v>
      </c>
    </row>
    <row r="190" spans="2:9" s="25" customFormat="1" ht="16.5" thickBot="1">
      <c r="B190" s="40">
        <f t="shared" si="2"/>
        <v>186</v>
      </c>
      <c r="C190" s="27" t="s">
        <v>385</v>
      </c>
      <c r="D190" s="71" t="s">
        <v>214</v>
      </c>
      <c r="E190" s="27" t="s">
        <v>865</v>
      </c>
      <c r="F190" s="49"/>
      <c r="G190" s="27" t="s">
        <v>2017</v>
      </c>
      <c r="H190" s="89" t="s">
        <v>2016</v>
      </c>
    </row>
    <row r="191" spans="2:9" s="25" customFormat="1" ht="16.5" thickBot="1">
      <c r="B191" s="40">
        <f t="shared" si="2"/>
        <v>187</v>
      </c>
      <c r="C191" s="27" t="s">
        <v>385</v>
      </c>
      <c r="D191" s="71" t="s">
        <v>214</v>
      </c>
      <c r="E191" s="27" t="s">
        <v>865</v>
      </c>
      <c r="F191" s="49"/>
      <c r="G191" s="27" t="s">
        <v>2019</v>
      </c>
      <c r="H191" s="89" t="s">
        <v>2018</v>
      </c>
    </row>
    <row r="192" spans="2:9" s="25" customFormat="1" ht="16.5" thickBot="1">
      <c r="B192" s="40">
        <f t="shared" si="2"/>
        <v>188</v>
      </c>
      <c r="C192" s="27" t="s">
        <v>385</v>
      </c>
      <c r="D192" s="71" t="s">
        <v>214</v>
      </c>
      <c r="E192" s="27" t="s">
        <v>865</v>
      </c>
      <c r="F192" s="49"/>
      <c r="G192" s="27" t="s">
        <v>2020</v>
      </c>
      <c r="H192" s="89" t="s">
        <v>2013</v>
      </c>
    </row>
    <row r="193" spans="2:9" s="25" customFormat="1" ht="16.5" thickBot="1">
      <c r="B193" s="40">
        <f t="shared" si="2"/>
        <v>189</v>
      </c>
      <c r="C193" s="27" t="s">
        <v>385</v>
      </c>
      <c r="D193" s="71" t="s">
        <v>214</v>
      </c>
      <c r="E193" s="27" t="s">
        <v>865</v>
      </c>
      <c r="F193" s="27"/>
      <c r="G193" s="27" t="s">
        <v>2021</v>
      </c>
      <c r="H193" s="88" t="s">
        <v>2021</v>
      </c>
    </row>
    <row r="194" spans="2:9" s="25" customFormat="1" ht="32.25" thickBot="1">
      <c r="B194" s="40">
        <f t="shared" si="2"/>
        <v>190</v>
      </c>
      <c r="C194" s="27" t="s">
        <v>385</v>
      </c>
      <c r="D194" s="82" t="s">
        <v>214</v>
      </c>
      <c r="E194" s="27" t="s">
        <v>880</v>
      </c>
      <c r="F194" s="27" t="s">
        <v>1765</v>
      </c>
      <c r="G194" s="27" t="s">
        <v>2007</v>
      </c>
      <c r="H194" s="104" t="s">
        <v>2006</v>
      </c>
    </row>
    <row r="195" spans="2:9" s="25" customFormat="1" ht="16.5" thickBot="1">
      <c r="B195" s="40">
        <f t="shared" si="2"/>
        <v>191</v>
      </c>
      <c r="C195" s="27" t="s">
        <v>385</v>
      </c>
      <c r="D195" s="71" t="s">
        <v>214</v>
      </c>
      <c r="E195" s="27" t="s">
        <v>865</v>
      </c>
      <c r="F195" s="49"/>
      <c r="G195" s="27" t="s">
        <v>2023</v>
      </c>
      <c r="H195" s="89" t="s">
        <v>2022</v>
      </c>
    </row>
    <row r="196" spans="2:9" s="25" customFormat="1" ht="9" customHeight="1" thickBot="1">
      <c r="B196" s="23">
        <f t="shared" si="2"/>
        <v>192</v>
      </c>
      <c r="C196" s="43"/>
      <c r="D196" s="43"/>
      <c r="E196" s="43"/>
      <c r="F196" s="43"/>
      <c r="G196" s="43"/>
      <c r="H196" s="94"/>
    </row>
    <row r="197" spans="2:9" s="25" customFormat="1" ht="9" customHeight="1" thickBot="1">
      <c r="B197" s="23">
        <f t="shared" si="2"/>
        <v>193</v>
      </c>
      <c r="C197" s="37"/>
      <c r="D197" s="37"/>
      <c r="E197" s="37"/>
      <c r="F197" s="37"/>
      <c r="G197" s="38"/>
      <c r="H197" s="94"/>
    </row>
    <row r="198" spans="2:9" s="25" customFormat="1" ht="16.5" thickBot="1">
      <c r="B198" s="40">
        <f t="shared" si="2"/>
        <v>194</v>
      </c>
      <c r="C198" s="27" t="s">
        <v>385</v>
      </c>
      <c r="D198" s="29" t="s">
        <v>215</v>
      </c>
      <c r="E198" s="27" t="s">
        <v>865</v>
      </c>
      <c r="F198" s="27" t="s">
        <v>866</v>
      </c>
      <c r="G198" s="26"/>
      <c r="H198" s="88" t="s">
        <v>2025</v>
      </c>
    </row>
    <row r="199" spans="2:9" s="25" customFormat="1" ht="16.5" thickBot="1">
      <c r="B199" s="40">
        <f t="shared" si="2"/>
        <v>195</v>
      </c>
      <c r="C199" s="27" t="s">
        <v>385</v>
      </c>
      <c r="D199" s="29" t="s">
        <v>215</v>
      </c>
      <c r="E199" s="27" t="s">
        <v>865</v>
      </c>
      <c r="F199" s="27" t="s">
        <v>1728</v>
      </c>
      <c r="G199" s="26"/>
      <c r="H199" s="88" t="s">
        <v>3807</v>
      </c>
      <c r="I199" s="50" t="s">
        <v>2024</v>
      </c>
    </row>
    <row r="200" spans="2:9" s="25" customFormat="1" ht="16.5" thickBot="1">
      <c r="B200" s="40">
        <f t="shared" si="2"/>
        <v>196</v>
      </c>
      <c r="C200" s="27" t="s">
        <v>385</v>
      </c>
      <c r="D200" s="29" t="s">
        <v>215</v>
      </c>
      <c r="E200" s="27" t="s">
        <v>865</v>
      </c>
      <c r="F200" s="27" t="s">
        <v>1333</v>
      </c>
      <c r="G200" s="27" t="s">
        <v>870</v>
      </c>
      <c r="H200" s="89" t="s">
        <v>2027</v>
      </c>
    </row>
    <row r="201" spans="2:9" s="25" customFormat="1" ht="16.5" thickBot="1">
      <c r="B201" s="40">
        <f t="shared" si="2"/>
        <v>197</v>
      </c>
      <c r="C201" s="27" t="s">
        <v>385</v>
      </c>
      <c r="D201" s="29" t="s">
        <v>215</v>
      </c>
      <c r="E201" s="27" t="s">
        <v>865</v>
      </c>
      <c r="F201" s="27" t="s">
        <v>1333</v>
      </c>
      <c r="G201" s="27" t="s">
        <v>874</v>
      </c>
      <c r="H201" s="89" t="s">
        <v>2026</v>
      </c>
    </row>
    <row r="202" spans="2:9" s="25" customFormat="1" ht="9" customHeight="1" thickBot="1">
      <c r="B202" s="23">
        <f t="shared" si="2"/>
        <v>198</v>
      </c>
      <c r="C202" s="43"/>
      <c r="D202" s="43"/>
      <c r="E202" s="43"/>
      <c r="F202" s="43"/>
      <c r="G202" s="43"/>
      <c r="H202" s="94"/>
    </row>
    <row r="203" spans="2:9" s="25" customFormat="1" ht="9" customHeight="1" thickBot="1">
      <c r="B203" s="23">
        <f t="shared" si="2"/>
        <v>199</v>
      </c>
      <c r="C203" s="37"/>
      <c r="D203" s="37"/>
      <c r="E203" s="37"/>
      <c r="F203" s="37"/>
      <c r="G203" s="38"/>
      <c r="H203" s="94"/>
    </row>
    <row r="204" spans="2:9" s="25" customFormat="1" ht="16.5" thickBot="1">
      <c r="B204" s="40">
        <f t="shared" si="2"/>
        <v>200</v>
      </c>
      <c r="C204" s="27" t="s">
        <v>385</v>
      </c>
      <c r="D204" s="29" t="s">
        <v>216</v>
      </c>
      <c r="E204" s="27" t="s">
        <v>865</v>
      </c>
      <c r="F204" s="27" t="s">
        <v>866</v>
      </c>
      <c r="G204" s="26"/>
      <c r="H204" s="88" t="s">
        <v>2033</v>
      </c>
    </row>
    <row r="205" spans="2:9" s="25" customFormat="1" ht="16.5" thickBot="1">
      <c r="B205" s="40">
        <f t="shared" si="2"/>
        <v>201</v>
      </c>
      <c r="C205" s="27" t="s">
        <v>385</v>
      </c>
      <c r="D205" s="29" t="s">
        <v>216</v>
      </c>
      <c r="E205" s="27" t="s">
        <v>865</v>
      </c>
      <c r="F205" s="27" t="s">
        <v>1728</v>
      </c>
      <c r="G205" s="26"/>
      <c r="H205" s="88" t="s">
        <v>3808</v>
      </c>
      <c r="I205" s="50" t="s">
        <v>2028</v>
      </c>
    </row>
    <row r="206" spans="2:9" s="25" customFormat="1" ht="16.5" thickBot="1">
      <c r="B206" s="40">
        <f t="shared" si="2"/>
        <v>202</v>
      </c>
      <c r="C206" s="27" t="s">
        <v>385</v>
      </c>
      <c r="D206" s="29" t="s">
        <v>216</v>
      </c>
      <c r="E206" s="27" t="s">
        <v>865</v>
      </c>
      <c r="F206" s="27" t="s">
        <v>1333</v>
      </c>
      <c r="G206" s="27" t="s">
        <v>870</v>
      </c>
      <c r="H206" s="89" t="s">
        <v>2029</v>
      </c>
    </row>
    <row r="207" spans="2:9" s="25" customFormat="1" ht="16.5" thickBot="1">
      <c r="B207" s="40">
        <f t="shared" si="2"/>
        <v>203</v>
      </c>
      <c r="C207" s="27" t="s">
        <v>385</v>
      </c>
      <c r="D207" s="29" t="s">
        <v>216</v>
      </c>
      <c r="E207" s="27" t="s">
        <v>865</v>
      </c>
      <c r="F207" s="27" t="s">
        <v>1333</v>
      </c>
      <c r="G207" s="27" t="s">
        <v>921</v>
      </c>
      <c r="H207" s="89" t="s">
        <v>2029</v>
      </c>
    </row>
    <row r="208" spans="2:9" s="25" customFormat="1" ht="16.5" thickBot="1">
      <c r="B208" s="40">
        <f t="shared" si="2"/>
        <v>204</v>
      </c>
      <c r="C208" s="27" t="s">
        <v>385</v>
      </c>
      <c r="D208" s="29" t="s">
        <v>216</v>
      </c>
      <c r="E208" s="27" t="s">
        <v>865</v>
      </c>
      <c r="F208" s="27" t="s">
        <v>1333</v>
      </c>
      <c r="G208" s="27" t="s">
        <v>989</v>
      </c>
      <c r="H208" s="89" t="s">
        <v>2030</v>
      </c>
    </row>
    <row r="209" spans="2:9" s="25" customFormat="1" ht="16.5" thickBot="1">
      <c r="B209" s="40">
        <f t="shared" si="2"/>
        <v>205</v>
      </c>
      <c r="C209" s="27" t="s">
        <v>385</v>
      </c>
      <c r="D209" s="29" t="s">
        <v>216</v>
      </c>
      <c r="E209" s="27" t="s">
        <v>865</v>
      </c>
      <c r="F209" s="27" t="s">
        <v>1333</v>
      </c>
      <c r="G209" s="27" t="s">
        <v>874</v>
      </c>
      <c r="H209" s="89" t="s">
        <v>2031</v>
      </c>
    </row>
    <row r="210" spans="2:9" s="25" customFormat="1" ht="16.5" thickBot="1">
      <c r="B210" s="40">
        <f t="shared" si="2"/>
        <v>206</v>
      </c>
      <c r="C210" s="27" t="s">
        <v>385</v>
      </c>
      <c r="D210" s="29" t="s">
        <v>216</v>
      </c>
      <c r="E210" s="27" t="s">
        <v>865</v>
      </c>
      <c r="F210" s="27" t="s">
        <v>1333</v>
      </c>
      <c r="G210" s="27" t="s">
        <v>923</v>
      </c>
      <c r="H210" s="89" t="s">
        <v>2032</v>
      </c>
    </row>
    <row r="211" spans="2:9" s="25" customFormat="1" ht="16.5" thickBot="1">
      <c r="B211" s="40">
        <f t="shared" si="2"/>
        <v>207</v>
      </c>
      <c r="C211" s="27" t="s">
        <v>385</v>
      </c>
      <c r="D211" s="29" t="s">
        <v>216</v>
      </c>
      <c r="E211" s="27" t="s">
        <v>865</v>
      </c>
      <c r="F211" s="27" t="s">
        <v>1333</v>
      </c>
      <c r="G211" s="27" t="s">
        <v>992</v>
      </c>
      <c r="H211" s="89" t="s">
        <v>2031</v>
      </c>
    </row>
    <row r="212" spans="2:9" s="25" customFormat="1" ht="9" customHeight="1" thickBot="1">
      <c r="B212" s="23">
        <f t="shared" si="2"/>
        <v>208</v>
      </c>
      <c r="C212" s="43"/>
      <c r="D212" s="43"/>
      <c r="E212" s="43"/>
      <c r="F212" s="43"/>
      <c r="G212" s="43"/>
      <c r="H212" s="94"/>
    </row>
    <row r="213" spans="2:9" s="25" customFormat="1" ht="9" customHeight="1" thickBot="1">
      <c r="B213" s="23">
        <f t="shared" si="2"/>
        <v>209</v>
      </c>
      <c r="C213" s="37"/>
      <c r="D213" s="37"/>
      <c r="E213" s="37"/>
      <c r="F213" s="37"/>
      <c r="G213" s="38"/>
      <c r="H213" s="94"/>
    </row>
    <row r="214" spans="2:9" s="25" customFormat="1" ht="16.5" thickBot="1">
      <c r="B214" s="40">
        <f t="shared" si="2"/>
        <v>210</v>
      </c>
      <c r="C214" s="27" t="s">
        <v>385</v>
      </c>
      <c r="D214" s="29" t="s">
        <v>217</v>
      </c>
      <c r="E214" s="27" t="s">
        <v>865</v>
      </c>
      <c r="F214" s="27" t="s">
        <v>866</v>
      </c>
      <c r="G214" s="26"/>
      <c r="H214" s="88" t="s">
        <v>2036</v>
      </c>
    </row>
    <row r="215" spans="2:9" s="25" customFormat="1" ht="16.5" thickBot="1">
      <c r="B215" s="40">
        <f t="shared" si="2"/>
        <v>211</v>
      </c>
      <c r="C215" s="27" t="s">
        <v>385</v>
      </c>
      <c r="D215" s="29" t="s">
        <v>217</v>
      </c>
      <c r="E215" s="27" t="s">
        <v>865</v>
      </c>
      <c r="F215" s="27" t="s">
        <v>1728</v>
      </c>
      <c r="G215" s="26"/>
      <c r="H215" s="88" t="s">
        <v>3809</v>
      </c>
      <c r="I215" s="50" t="s">
        <v>2037</v>
      </c>
    </row>
    <row r="216" spans="2:9" s="25" customFormat="1" ht="16.5" thickBot="1">
      <c r="B216" s="40">
        <f t="shared" si="2"/>
        <v>212</v>
      </c>
      <c r="C216" s="27" t="s">
        <v>385</v>
      </c>
      <c r="D216" s="29" t="s">
        <v>217</v>
      </c>
      <c r="E216" s="27" t="s">
        <v>865</v>
      </c>
      <c r="F216" s="27" t="s">
        <v>1333</v>
      </c>
      <c r="G216" s="27" t="s">
        <v>870</v>
      </c>
      <c r="H216" s="89" t="s">
        <v>2034</v>
      </c>
    </row>
    <row r="217" spans="2:9" s="25" customFormat="1" ht="16.5" thickBot="1">
      <c r="B217" s="40">
        <f t="shared" si="2"/>
        <v>213</v>
      </c>
      <c r="C217" s="27" t="s">
        <v>385</v>
      </c>
      <c r="D217" s="29" t="s">
        <v>217</v>
      </c>
      <c r="E217" s="27" t="s">
        <v>865</v>
      </c>
      <c r="F217" s="27" t="s">
        <v>1333</v>
      </c>
      <c r="G217" s="27" t="s">
        <v>874</v>
      </c>
      <c r="H217" s="89" t="s">
        <v>2035</v>
      </c>
    </row>
    <row r="218" spans="2:9" s="25" customFormat="1" ht="16.5" thickBot="1">
      <c r="B218" s="40">
        <f t="shared" si="2"/>
        <v>214</v>
      </c>
      <c r="C218" s="27" t="s">
        <v>385</v>
      </c>
      <c r="D218" s="71" t="s">
        <v>217</v>
      </c>
      <c r="E218" s="49" t="s">
        <v>865</v>
      </c>
      <c r="F218" s="49"/>
      <c r="G218" s="49" t="s">
        <v>2039</v>
      </c>
      <c r="H218" s="90" t="s">
        <v>2038</v>
      </c>
    </row>
    <row r="219" spans="2:9" s="25" customFormat="1" ht="9" customHeight="1" thickBot="1">
      <c r="B219" s="23">
        <f t="shared" si="2"/>
        <v>215</v>
      </c>
      <c r="C219" s="43"/>
      <c r="D219" s="43"/>
      <c r="E219" s="43"/>
      <c r="F219" s="43"/>
      <c r="G219" s="43"/>
      <c r="H219" s="96"/>
    </row>
    <row r="220" spans="2:9" s="25" customFormat="1" ht="9" customHeight="1" thickBot="1">
      <c r="B220" s="23">
        <f t="shared" si="2"/>
        <v>216</v>
      </c>
      <c r="C220" s="37"/>
      <c r="D220" s="37"/>
      <c r="E220" s="37"/>
      <c r="F220" s="37"/>
      <c r="G220" s="38"/>
      <c r="H220" s="94"/>
    </row>
    <row r="221" spans="2:9" s="25" customFormat="1" ht="16.5" thickBot="1">
      <c r="B221" s="40">
        <f t="shared" si="2"/>
        <v>217</v>
      </c>
      <c r="C221" s="27" t="s">
        <v>385</v>
      </c>
      <c r="D221" s="29" t="s">
        <v>218</v>
      </c>
      <c r="E221" s="27" t="s">
        <v>865</v>
      </c>
      <c r="F221" s="27" t="s">
        <v>866</v>
      </c>
      <c r="G221" s="26"/>
      <c r="H221" s="88" t="s">
        <v>2041</v>
      </c>
    </row>
    <row r="222" spans="2:9" s="25" customFormat="1" ht="16.5" thickBot="1">
      <c r="B222" s="40">
        <f t="shared" si="2"/>
        <v>218</v>
      </c>
      <c r="C222" s="27" t="s">
        <v>385</v>
      </c>
      <c r="D222" s="29" t="s">
        <v>218</v>
      </c>
      <c r="E222" s="27" t="s">
        <v>865</v>
      </c>
      <c r="F222" s="27" t="s">
        <v>1728</v>
      </c>
      <c r="G222" s="26"/>
      <c r="H222" s="88" t="s">
        <v>3810</v>
      </c>
      <c r="I222" s="50" t="s">
        <v>2040</v>
      </c>
    </row>
    <row r="223" spans="2:9" s="25" customFormat="1" ht="16.5" thickBot="1">
      <c r="B223" s="40">
        <f t="shared" si="2"/>
        <v>219</v>
      </c>
      <c r="C223" s="27" t="s">
        <v>385</v>
      </c>
      <c r="D223" s="29" t="s">
        <v>218</v>
      </c>
      <c r="E223" s="27" t="s">
        <v>865</v>
      </c>
      <c r="F223" s="27" t="s">
        <v>1333</v>
      </c>
      <c r="G223" s="27" t="s">
        <v>870</v>
      </c>
      <c r="H223" s="89" t="s">
        <v>3811</v>
      </c>
    </row>
    <row r="224" spans="2:9" s="25" customFormat="1" ht="16.5" thickBot="1">
      <c r="B224" s="40">
        <f t="shared" si="2"/>
        <v>220</v>
      </c>
      <c r="C224" s="27" t="s">
        <v>385</v>
      </c>
      <c r="D224" s="29" t="s">
        <v>218</v>
      </c>
      <c r="E224" s="27" t="s">
        <v>865</v>
      </c>
      <c r="F224" s="27" t="s">
        <v>1333</v>
      </c>
      <c r="G224" s="27" t="s">
        <v>874</v>
      </c>
      <c r="H224" s="89" t="s">
        <v>2042</v>
      </c>
    </row>
    <row r="225" spans="2:11" s="25" customFormat="1" ht="16.5" thickBot="1">
      <c r="B225" s="40">
        <f t="shared" si="2"/>
        <v>221</v>
      </c>
      <c r="C225" s="27" t="s">
        <v>385</v>
      </c>
      <c r="D225" s="71" t="s">
        <v>218</v>
      </c>
      <c r="E225" s="27" t="s">
        <v>865</v>
      </c>
      <c r="F225" s="49"/>
      <c r="G225" s="49" t="s">
        <v>2043</v>
      </c>
      <c r="H225" s="90" t="s">
        <v>3812</v>
      </c>
    </row>
    <row r="226" spans="2:11" s="25" customFormat="1" ht="9" customHeight="1" thickBot="1">
      <c r="B226" s="23">
        <f t="shared" si="2"/>
        <v>222</v>
      </c>
      <c r="C226" s="43"/>
      <c r="D226" s="43"/>
      <c r="E226" s="43"/>
      <c r="F226" s="43"/>
      <c r="G226" s="43"/>
      <c r="H226" s="96"/>
    </row>
    <row r="227" spans="2:11" s="25" customFormat="1" ht="9" customHeight="1" thickBot="1">
      <c r="B227" s="23">
        <f t="shared" si="2"/>
        <v>223</v>
      </c>
      <c r="C227" s="37"/>
      <c r="D227" s="37"/>
      <c r="E227" s="37"/>
      <c r="F227" s="37"/>
      <c r="G227" s="38"/>
      <c r="H227" s="94"/>
    </row>
    <row r="228" spans="2:11" s="25" customFormat="1" ht="16.5" thickBot="1">
      <c r="B228" s="40">
        <f t="shared" si="2"/>
        <v>224</v>
      </c>
      <c r="C228" s="27" t="s">
        <v>385</v>
      </c>
      <c r="D228" s="29" t="s">
        <v>178</v>
      </c>
      <c r="E228" s="27" t="s">
        <v>865</v>
      </c>
      <c r="F228" s="27" t="s">
        <v>866</v>
      </c>
      <c r="G228" s="26"/>
      <c r="H228" s="88" t="s">
        <v>2048</v>
      </c>
    </row>
    <row r="229" spans="2:11" s="25" customFormat="1" ht="16.5" thickBot="1">
      <c r="B229" s="40">
        <f t="shared" si="2"/>
        <v>225</v>
      </c>
      <c r="C229" s="27" t="s">
        <v>385</v>
      </c>
      <c r="D229" s="29" t="s">
        <v>178</v>
      </c>
      <c r="E229" s="27" t="s">
        <v>865</v>
      </c>
      <c r="F229" s="27" t="s">
        <v>1728</v>
      </c>
      <c r="G229" s="26"/>
      <c r="H229" s="88" t="s">
        <v>3813</v>
      </c>
      <c r="I229" s="50" t="s">
        <v>2047</v>
      </c>
    </row>
    <row r="230" spans="2:11" s="25" customFormat="1" ht="16.5" thickBot="1">
      <c r="B230" s="40">
        <f t="shared" si="2"/>
        <v>226</v>
      </c>
      <c r="C230" s="27" t="s">
        <v>385</v>
      </c>
      <c r="D230" s="29" t="s">
        <v>178</v>
      </c>
      <c r="E230" s="27" t="s">
        <v>865</v>
      </c>
      <c r="F230" s="27" t="s">
        <v>1333</v>
      </c>
      <c r="G230" s="27" t="s">
        <v>2050</v>
      </c>
      <c r="H230" s="89" t="s">
        <v>2049</v>
      </c>
      <c r="I230" s="50"/>
    </row>
    <row r="231" spans="2:11" s="25" customFormat="1" ht="16.5" thickBot="1">
      <c r="B231" s="40">
        <f t="shared" si="2"/>
        <v>227</v>
      </c>
      <c r="C231" s="27" t="s">
        <v>385</v>
      </c>
      <c r="D231" s="29" t="s">
        <v>178</v>
      </c>
      <c r="E231" s="27" t="s">
        <v>865</v>
      </c>
      <c r="F231" s="27" t="s">
        <v>1333</v>
      </c>
      <c r="G231" s="27" t="s">
        <v>2052</v>
      </c>
      <c r="H231" s="89" t="s">
        <v>2051</v>
      </c>
      <c r="I231" s="50"/>
    </row>
    <row r="232" spans="2:11" s="25" customFormat="1" ht="16.5" thickBot="1">
      <c r="B232" s="40">
        <f t="shared" si="2"/>
        <v>228</v>
      </c>
      <c r="C232" s="27" t="s">
        <v>385</v>
      </c>
      <c r="D232" s="29" t="s">
        <v>178</v>
      </c>
      <c r="E232" s="27" t="s">
        <v>865</v>
      </c>
      <c r="F232" s="27" t="s">
        <v>1333</v>
      </c>
      <c r="G232" s="27" t="s">
        <v>2052</v>
      </c>
      <c r="H232" s="89" t="s">
        <v>2053</v>
      </c>
      <c r="I232" s="50"/>
    </row>
    <row r="233" spans="2:11" s="25" customFormat="1" ht="16.5" thickBot="1">
      <c r="B233" s="40">
        <f t="shared" si="2"/>
        <v>229</v>
      </c>
      <c r="C233" s="27" t="s">
        <v>385</v>
      </c>
      <c r="D233" s="29" t="s">
        <v>178</v>
      </c>
      <c r="E233" s="27" t="s">
        <v>865</v>
      </c>
      <c r="F233" s="27" t="s">
        <v>1333</v>
      </c>
      <c r="G233" s="27" t="s">
        <v>2055</v>
      </c>
      <c r="H233" s="89" t="s">
        <v>2054</v>
      </c>
      <c r="I233" s="50"/>
    </row>
    <row r="234" spans="2:11" s="25" customFormat="1" ht="16.5" thickBot="1">
      <c r="B234" s="40">
        <f t="shared" si="2"/>
        <v>230</v>
      </c>
      <c r="C234" s="27" t="s">
        <v>385</v>
      </c>
      <c r="D234" s="29" t="s">
        <v>178</v>
      </c>
      <c r="E234" s="27" t="s">
        <v>865</v>
      </c>
      <c r="F234" s="27" t="s">
        <v>1333</v>
      </c>
      <c r="G234" s="27" t="s">
        <v>2055</v>
      </c>
      <c r="H234" s="89" t="s">
        <v>2056</v>
      </c>
    </row>
    <row r="235" spans="2:11" s="25" customFormat="1" ht="16.5" thickBot="1">
      <c r="B235" s="40">
        <f t="shared" si="2"/>
        <v>231</v>
      </c>
      <c r="C235" s="27" t="s">
        <v>385</v>
      </c>
      <c r="D235" s="29" t="s">
        <v>178</v>
      </c>
      <c r="E235" s="27" t="s">
        <v>865</v>
      </c>
      <c r="F235" s="27" t="s">
        <v>1333</v>
      </c>
      <c r="G235" s="27" t="s">
        <v>2058</v>
      </c>
      <c r="H235" s="89" t="s">
        <v>2057</v>
      </c>
    </row>
    <row r="236" spans="2:11" s="25" customFormat="1" ht="16.5" thickBot="1">
      <c r="B236" s="40">
        <f t="shared" si="2"/>
        <v>232</v>
      </c>
      <c r="C236" s="27" t="s">
        <v>385</v>
      </c>
      <c r="D236" s="29" t="s">
        <v>178</v>
      </c>
      <c r="E236" s="27" t="s">
        <v>865</v>
      </c>
      <c r="F236" s="27" t="s">
        <v>1333</v>
      </c>
      <c r="G236" s="27" t="s">
        <v>2058</v>
      </c>
      <c r="H236" s="89" t="s">
        <v>2059</v>
      </c>
    </row>
    <row r="237" spans="2:11" s="25" customFormat="1" ht="16.5" thickBot="1">
      <c r="B237" s="40">
        <f t="shared" si="2"/>
        <v>233</v>
      </c>
      <c r="C237" s="27" t="s">
        <v>385</v>
      </c>
      <c r="D237" s="29" t="s">
        <v>178</v>
      </c>
      <c r="E237" s="27" t="s">
        <v>865</v>
      </c>
      <c r="F237" s="27" t="s">
        <v>1333</v>
      </c>
      <c r="G237" s="27" t="s">
        <v>2058</v>
      </c>
      <c r="H237" s="89" t="s">
        <v>2060</v>
      </c>
    </row>
    <row r="238" spans="2:11" s="25" customFormat="1" ht="15.75">
      <c r="B238" s="40">
        <f t="shared" si="2"/>
        <v>234</v>
      </c>
      <c r="C238" s="27" t="s">
        <v>385</v>
      </c>
      <c r="D238" s="71" t="s">
        <v>178</v>
      </c>
      <c r="E238" s="49" t="s">
        <v>865</v>
      </c>
      <c r="F238" s="49"/>
      <c r="G238" s="80" t="s">
        <v>2061</v>
      </c>
      <c r="H238" s="90" t="s">
        <v>2062</v>
      </c>
    </row>
    <row r="239" spans="2:11" s="25" customFormat="1" ht="9" customHeight="1" thickBot="1">
      <c r="B239" s="45">
        <f t="shared" ref="B239" si="3">B238+1</f>
        <v>235</v>
      </c>
      <c r="C239" s="43"/>
      <c r="D239" s="43"/>
      <c r="E239" s="43"/>
      <c r="F239" s="43"/>
      <c r="G239" s="43"/>
      <c r="H239" s="44"/>
    </row>
    <row r="240" spans="2:11" ht="16.5" thickBot="1">
      <c r="E240" s="25"/>
      <c r="K240" s="10"/>
    </row>
    <row r="241" spans="3:13" ht="15.75" thickBot="1">
      <c r="C241" s="111"/>
      <c r="D241" s="112"/>
      <c r="F241" s="111"/>
      <c r="G241" s="113"/>
      <c r="H241" s="113"/>
      <c r="I241" s="113"/>
      <c r="J241" s="112"/>
    </row>
    <row r="242" spans="3:13">
      <c r="C242" s="72" t="s">
        <v>186</v>
      </c>
      <c r="D242" s="73" t="s">
        <v>4263</v>
      </c>
      <c r="F242" s="72" t="s">
        <v>1795</v>
      </c>
      <c r="G242" s="76" t="s">
        <v>186</v>
      </c>
      <c r="H242" s="76" t="s">
        <v>385</v>
      </c>
      <c r="I242" s="76" t="s">
        <v>3779</v>
      </c>
      <c r="J242" s="73" t="s">
        <v>1765</v>
      </c>
      <c r="M242" t="s">
        <v>2064</v>
      </c>
    </row>
    <row r="243" spans="3:13">
      <c r="C243" s="72" t="s">
        <v>186</v>
      </c>
      <c r="D243" s="73" t="s">
        <v>4264</v>
      </c>
      <c r="F243" s="72" t="s">
        <v>1855</v>
      </c>
      <c r="G243" s="76" t="s">
        <v>204</v>
      </c>
      <c r="H243" s="76" t="s">
        <v>385</v>
      </c>
      <c r="I243" s="76" t="s">
        <v>1854</v>
      </c>
      <c r="J243" s="73" t="s">
        <v>1814</v>
      </c>
      <c r="M243" t="s">
        <v>2064</v>
      </c>
    </row>
    <row r="244" spans="3:13">
      <c r="C244" s="72" t="s">
        <v>186</v>
      </c>
      <c r="D244" s="73" t="s">
        <v>2063</v>
      </c>
      <c r="F244" s="72" t="s">
        <v>1872</v>
      </c>
      <c r="G244" s="76" t="s">
        <v>205</v>
      </c>
      <c r="H244" s="76" t="s">
        <v>385</v>
      </c>
      <c r="I244" s="76" t="s">
        <v>3789</v>
      </c>
      <c r="J244" s="73" t="s">
        <v>1780</v>
      </c>
      <c r="M244" t="s">
        <v>2064</v>
      </c>
    </row>
    <row r="245" spans="3:13">
      <c r="C245" s="72" t="s">
        <v>186</v>
      </c>
      <c r="D245" s="73" t="s">
        <v>2141</v>
      </c>
      <c r="F245" s="72" t="s">
        <v>1888</v>
      </c>
      <c r="G245" s="76" t="s">
        <v>206</v>
      </c>
      <c r="H245" s="76" t="s">
        <v>385</v>
      </c>
      <c r="I245" s="76" t="s">
        <v>1889</v>
      </c>
      <c r="J245" s="73" t="s">
        <v>1780</v>
      </c>
      <c r="M245" t="s">
        <v>2064</v>
      </c>
    </row>
    <row r="246" spans="3:13">
      <c r="C246" s="72" t="s">
        <v>169</v>
      </c>
      <c r="D246" s="73" t="s">
        <v>2065</v>
      </c>
      <c r="F246" s="72" t="s">
        <v>2007</v>
      </c>
      <c r="G246" s="76" t="s">
        <v>213</v>
      </c>
      <c r="H246" s="76" t="s">
        <v>385</v>
      </c>
      <c r="I246" s="76" t="s">
        <v>2006</v>
      </c>
      <c r="J246" s="73" t="s">
        <v>1765</v>
      </c>
      <c r="M246" t="s">
        <v>2064</v>
      </c>
    </row>
    <row r="247" spans="3:13">
      <c r="C247" s="72" t="s">
        <v>169</v>
      </c>
      <c r="D247" s="73" t="s">
        <v>4265</v>
      </c>
      <c r="F247" s="72" t="s">
        <v>2007</v>
      </c>
      <c r="G247" s="76" t="s">
        <v>214</v>
      </c>
      <c r="H247" s="76" t="s">
        <v>385</v>
      </c>
      <c r="I247" s="76" t="s">
        <v>2006</v>
      </c>
      <c r="J247" s="73" t="s">
        <v>1765</v>
      </c>
      <c r="M247" t="s">
        <v>2064</v>
      </c>
    </row>
    <row r="248" spans="3:13">
      <c r="C248" s="72" t="s">
        <v>169</v>
      </c>
      <c r="D248" s="73" t="s">
        <v>2066</v>
      </c>
      <c r="F248" s="72"/>
      <c r="G248" s="76"/>
      <c r="H248" s="76"/>
      <c r="I248" s="76"/>
      <c r="J248" s="73"/>
      <c r="M248" t="s">
        <v>2064</v>
      </c>
    </row>
    <row r="249" spans="3:13">
      <c r="C249" s="72" t="s">
        <v>169</v>
      </c>
      <c r="D249" s="73" t="s">
        <v>2067</v>
      </c>
      <c r="F249" s="72"/>
      <c r="G249" s="76"/>
      <c r="H249" s="76"/>
      <c r="I249" s="76"/>
      <c r="J249" s="73"/>
      <c r="M249" t="s">
        <v>2064</v>
      </c>
    </row>
    <row r="250" spans="3:13">
      <c r="C250" s="72" t="s">
        <v>169</v>
      </c>
      <c r="D250" s="73" t="s">
        <v>2068</v>
      </c>
      <c r="F250" s="72"/>
      <c r="G250" s="76"/>
      <c r="H250" s="76"/>
      <c r="I250" s="76"/>
      <c r="J250" s="73"/>
      <c r="M250" t="s">
        <v>2064</v>
      </c>
    </row>
    <row r="251" spans="3:13">
      <c r="C251" s="72" t="s">
        <v>169</v>
      </c>
      <c r="D251" s="73" t="s">
        <v>2069</v>
      </c>
      <c r="F251" s="72"/>
      <c r="G251" s="76"/>
      <c r="H251" s="76"/>
      <c r="I251" s="76"/>
      <c r="J251" s="73"/>
      <c r="M251" t="s">
        <v>2064</v>
      </c>
    </row>
    <row r="252" spans="3:13">
      <c r="C252" s="72" t="s">
        <v>169</v>
      </c>
      <c r="D252" s="73" t="s">
        <v>2070</v>
      </c>
      <c r="F252" s="72"/>
      <c r="G252" s="76"/>
      <c r="H252" s="76"/>
      <c r="I252" s="76"/>
      <c r="J252" s="73"/>
      <c r="M252" t="s">
        <v>2064</v>
      </c>
    </row>
    <row r="253" spans="3:13">
      <c r="C253" s="72" t="s">
        <v>169</v>
      </c>
      <c r="D253" s="73" t="s">
        <v>2071</v>
      </c>
      <c r="F253" s="72"/>
      <c r="G253" s="76"/>
      <c r="H253" s="76"/>
      <c r="I253" s="76"/>
      <c r="J253" s="73"/>
      <c r="M253" t="s">
        <v>2064</v>
      </c>
    </row>
    <row r="254" spans="3:13">
      <c r="C254" s="72" t="s">
        <v>169</v>
      </c>
      <c r="D254" s="73" t="s">
        <v>2072</v>
      </c>
      <c r="F254" s="72"/>
      <c r="G254" s="76"/>
      <c r="H254" s="76"/>
      <c r="I254" s="76"/>
      <c r="J254" s="73"/>
      <c r="M254" t="s">
        <v>2064</v>
      </c>
    </row>
    <row r="255" spans="3:13">
      <c r="C255" s="72" t="s">
        <v>169</v>
      </c>
      <c r="D255" s="73" t="s">
        <v>2073</v>
      </c>
      <c r="F255" s="72"/>
      <c r="G255" s="76"/>
      <c r="H255" s="76"/>
      <c r="I255" s="76"/>
      <c r="J255" s="73"/>
      <c r="M255" t="s">
        <v>2064</v>
      </c>
    </row>
    <row r="256" spans="3:13">
      <c r="C256" s="72" t="s">
        <v>169</v>
      </c>
      <c r="D256" s="73" t="s">
        <v>3409</v>
      </c>
      <c r="F256" s="72"/>
      <c r="G256" s="76"/>
      <c r="H256" s="76"/>
      <c r="I256" s="76"/>
      <c r="J256" s="73"/>
      <c r="M256" t="s">
        <v>2064</v>
      </c>
    </row>
    <row r="257" spans="3:13">
      <c r="C257" s="72" t="s">
        <v>169</v>
      </c>
      <c r="D257" s="73" t="s">
        <v>3410</v>
      </c>
      <c r="F257" s="72"/>
      <c r="G257" s="76"/>
      <c r="H257" s="76"/>
      <c r="I257" s="76"/>
      <c r="J257" s="73"/>
      <c r="M257" t="s">
        <v>2064</v>
      </c>
    </row>
    <row r="258" spans="3:13">
      <c r="C258" s="72" t="s">
        <v>169</v>
      </c>
      <c r="D258" s="73" t="s">
        <v>3411</v>
      </c>
      <c r="F258" s="72"/>
      <c r="G258" s="76"/>
      <c r="H258" s="76"/>
      <c r="I258" s="76"/>
      <c r="J258" s="73"/>
      <c r="M258" t="s">
        <v>2064</v>
      </c>
    </row>
    <row r="259" spans="3:13">
      <c r="C259" s="72" t="s">
        <v>169</v>
      </c>
      <c r="D259" s="73" t="s">
        <v>4266</v>
      </c>
      <c r="F259" s="72"/>
      <c r="G259" s="76"/>
      <c r="H259" s="76"/>
      <c r="I259" s="76"/>
      <c r="J259" s="73"/>
      <c r="M259" t="s">
        <v>2064</v>
      </c>
    </row>
    <row r="260" spans="3:13">
      <c r="C260" s="72" t="s">
        <v>169</v>
      </c>
      <c r="D260" s="73" t="s">
        <v>3412</v>
      </c>
      <c r="F260" s="72"/>
      <c r="G260" s="76"/>
      <c r="H260" s="76"/>
      <c r="I260" s="76"/>
      <c r="J260" s="73"/>
      <c r="M260" t="s">
        <v>2064</v>
      </c>
    </row>
    <row r="261" spans="3:13">
      <c r="C261" s="72" t="s">
        <v>169</v>
      </c>
      <c r="D261" s="73" t="s">
        <v>4267</v>
      </c>
      <c r="F261" s="72"/>
      <c r="G261" s="76"/>
      <c r="H261" s="76"/>
      <c r="I261" s="76"/>
      <c r="J261" s="73"/>
      <c r="M261" t="s">
        <v>2064</v>
      </c>
    </row>
    <row r="262" spans="3:13">
      <c r="C262" s="72" t="s">
        <v>202</v>
      </c>
      <c r="D262" s="73" t="s">
        <v>2074</v>
      </c>
      <c r="F262" s="72"/>
      <c r="G262" s="76"/>
      <c r="H262" s="76"/>
      <c r="I262" s="76"/>
      <c r="J262" s="73"/>
      <c r="M262" t="s">
        <v>2064</v>
      </c>
    </row>
    <row r="263" spans="3:13">
      <c r="C263" s="72" t="s">
        <v>202</v>
      </c>
      <c r="D263" s="73" t="s">
        <v>4268</v>
      </c>
      <c r="F263" s="72"/>
      <c r="G263" s="76"/>
      <c r="H263" s="76"/>
      <c r="I263" s="76"/>
      <c r="J263" s="73"/>
      <c r="M263" t="s">
        <v>2064</v>
      </c>
    </row>
    <row r="264" spans="3:13">
      <c r="C264" s="72" t="s">
        <v>202</v>
      </c>
      <c r="D264" s="73" t="s">
        <v>2075</v>
      </c>
      <c r="F264" s="72"/>
      <c r="G264" s="76"/>
      <c r="H264" s="76"/>
      <c r="I264" s="76"/>
      <c r="J264" s="73"/>
      <c r="M264" t="s">
        <v>2064</v>
      </c>
    </row>
    <row r="265" spans="3:13">
      <c r="C265" s="72" t="s">
        <v>202</v>
      </c>
      <c r="D265" s="73" t="s">
        <v>2076</v>
      </c>
      <c r="F265" s="72"/>
      <c r="G265" s="76"/>
      <c r="H265" s="76"/>
      <c r="I265" s="76"/>
      <c r="J265" s="73"/>
      <c r="M265" t="s">
        <v>2064</v>
      </c>
    </row>
    <row r="266" spans="3:13">
      <c r="C266" s="72" t="s">
        <v>202</v>
      </c>
      <c r="D266" s="73" t="s">
        <v>2077</v>
      </c>
      <c r="F266" s="72"/>
      <c r="G266" s="76"/>
      <c r="H266" s="76"/>
      <c r="I266" s="76"/>
      <c r="J266" s="73"/>
      <c r="M266" t="s">
        <v>2064</v>
      </c>
    </row>
    <row r="267" spans="3:13">
      <c r="C267" s="72" t="s">
        <v>202</v>
      </c>
      <c r="D267" s="73" t="s">
        <v>3413</v>
      </c>
      <c r="F267" s="72"/>
      <c r="G267" s="76"/>
      <c r="H267" s="76"/>
      <c r="I267" s="76"/>
      <c r="J267" s="73"/>
      <c r="M267" t="s">
        <v>2064</v>
      </c>
    </row>
    <row r="268" spans="3:13">
      <c r="C268" s="72" t="s">
        <v>203</v>
      </c>
      <c r="D268" s="73" t="s">
        <v>2078</v>
      </c>
      <c r="F268" s="72"/>
      <c r="G268" s="76"/>
      <c r="H268" s="76"/>
      <c r="I268" s="76"/>
      <c r="J268" s="73"/>
      <c r="M268" t="s">
        <v>2064</v>
      </c>
    </row>
    <row r="269" spans="3:13">
      <c r="C269" s="72" t="s">
        <v>203</v>
      </c>
      <c r="D269" s="73" t="s">
        <v>4269</v>
      </c>
      <c r="F269" s="72"/>
      <c r="G269" s="76"/>
      <c r="H269" s="76"/>
      <c r="I269" s="76"/>
      <c r="J269" s="73"/>
      <c r="M269" t="s">
        <v>2064</v>
      </c>
    </row>
    <row r="270" spans="3:13">
      <c r="C270" s="72" t="s">
        <v>203</v>
      </c>
      <c r="D270" s="73" t="s">
        <v>2079</v>
      </c>
      <c r="F270" s="72"/>
      <c r="G270" s="76"/>
      <c r="H270" s="76"/>
      <c r="I270" s="76"/>
      <c r="J270" s="73"/>
      <c r="M270" t="s">
        <v>2064</v>
      </c>
    </row>
    <row r="271" spans="3:13">
      <c r="C271" s="72" t="s">
        <v>203</v>
      </c>
      <c r="D271" s="73" t="s">
        <v>4270</v>
      </c>
      <c r="F271" s="72"/>
      <c r="G271" s="76"/>
      <c r="H271" s="76"/>
      <c r="I271" s="76"/>
      <c r="J271" s="73"/>
      <c r="M271" t="s">
        <v>2064</v>
      </c>
    </row>
    <row r="272" spans="3:13">
      <c r="C272" s="72" t="s">
        <v>203</v>
      </c>
      <c r="D272" s="73" t="s">
        <v>2080</v>
      </c>
      <c r="F272" s="72"/>
      <c r="G272" s="76"/>
      <c r="H272" s="76"/>
      <c r="I272" s="76"/>
      <c r="J272" s="73"/>
      <c r="M272" t="s">
        <v>2064</v>
      </c>
    </row>
    <row r="273" spans="3:13">
      <c r="C273" s="72" t="s">
        <v>203</v>
      </c>
      <c r="D273" s="73" t="s">
        <v>2081</v>
      </c>
      <c r="F273" s="72"/>
      <c r="G273" s="76"/>
      <c r="H273" s="76"/>
      <c r="I273" s="76"/>
      <c r="J273" s="73"/>
      <c r="M273" t="s">
        <v>2064</v>
      </c>
    </row>
    <row r="274" spans="3:13">
      <c r="C274" s="72" t="s">
        <v>203</v>
      </c>
      <c r="D274" s="73" t="s">
        <v>2082</v>
      </c>
      <c r="F274" s="72"/>
      <c r="G274" s="76"/>
      <c r="H274" s="76"/>
      <c r="I274" s="76"/>
      <c r="J274" s="73"/>
      <c r="M274" t="s">
        <v>2064</v>
      </c>
    </row>
    <row r="275" spans="3:13">
      <c r="C275" s="72" t="s">
        <v>203</v>
      </c>
      <c r="D275" s="73" t="s">
        <v>3414</v>
      </c>
      <c r="F275" s="72"/>
      <c r="G275" s="76"/>
      <c r="H275" s="76"/>
      <c r="I275" s="76"/>
      <c r="J275" s="73"/>
      <c r="M275" t="s">
        <v>2064</v>
      </c>
    </row>
    <row r="276" spans="3:13">
      <c r="C276" s="72" t="s">
        <v>203</v>
      </c>
      <c r="D276" s="73" t="s">
        <v>3415</v>
      </c>
      <c r="F276" s="72"/>
      <c r="G276" s="76"/>
      <c r="H276" s="76"/>
      <c r="I276" s="76"/>
      <c r="J276" s="73"/>
      <c r="M276" t="s">
        <v>2064</v>
      </c>
    </row>
    <row r="277" spans="3:13">
      <c r="C277" s="72" t="s">
        <v>203</v>
      </c>
      <c r="D277" s="73" t="s">
        <v>4271</v>
      </c>
      <c r="F277" s="72"/>
      <c r="G277" s="76"/>
      <c r="H277" s="76"/>
      <c r="I277" s="76"/>
      <c r="J277" s="73"/>
      <c r="M277" t="s">
        <v>2064</v>
      </c>
    </row>
    <row r="278" spans="3:13">
      <c r="C278" s="72" t="s">
        <v>203</v>
      </c>
      <c r="D278" s="73" t="s">
        <v>3416</v>
      </c>
      <c r="F278" s="72"/>
      <c r="G278" s="76"/>
      <c r="H278" s="76"/>
      <c r="I278" s="76"/>
      <c r="J278" s="73"/>
      <c r="M278" t="s">
        <v>2064</v>
      </c>
    </row>
    <row r="279" spans="3:13">
      <c r="C279" s="72" t="s">
        <v>203</v>
      </c>
      <c r="D279" s="73" t="s">
        <v>4272</v>
      </c>
      <c r="F279" s="72"/>
      <c r="G279" s="76"/>
      <c r="H279" s="76"/>
      <c r="I279" s="76"/>
      <c r="J279" s="73"/>
      <c r="M279" t="s">
        <v>2064</v>
      </c>
    </row>
    <row r="280" spans="3:13">
      <c r="C280" s="72" t="s">
        <v>204</v>
      </c>
      <c r="D280" s="73" t="s">
        <v>2083</v>
      </c>
      <c r="F280" s="72"/>
      <c r="G280" s="76"/>
      <c r="H280" s="76"/>
      <c r="I280" s="76"/>
      <c r="J280" s="73"/>
    </row>
    <row r="281" spans="3:13">
      <c r="C281" s="72" t="s">
        <v>204</v>
      </c>
      <c r="D281" s="73" t="s">
        <v>4273</v>
      </c>
      <c r="F281" s="72"/>
      <c r="G281" s="76"/>
      <c r="H281" s="76"/>
      <c r="I281" s="76"/>
      <c r="J281" s="73"/>
    </row>
    <row r="282" spans="3:13">
      <c r="C282" s="72" t="s">
        <v>204</v>
      </c>
      <c r="D282" s="73" t="s">
        <v>2084</v>
      </c>
      <c r="F282" s="72"/>
      <c r="G282" s="76"/>
      <c r="H282" s="76"/>
      <c r="I282" s="76"/>
      <c r="J282" s="73"/>
    </row>
    <row r="283" spans="3:13">
      <c r="C283" s="72" t="s">
        <v>204</v>
      </c>
      <c r="D283" s="73" t="s">
        <v>2085</v>
      </c>
      <c r="F283" s="72"/>
      <c r="G283" s="76"/>
      <c r="H283" s="76"/>
      <c r="I283" s="76"/>
      <c r="J283" s="73"/>
    </row>
    <row r="284" spans="3:13">
      <c r="C284" s="72" t="s">
        <v>204</v>
      </c>
      <c r="D284" s="73" t="s">
        <v>2086</v>
      </c>
      <c r="F284" s="72"/>
      <c r="G284" s="76"/>
      <c r="H284" s="76"/>
      <c r="I284" s="76"/>
      <c r="J284" s="73"/>
    </row>
    <row r="285" spans="3:13">
      <c r="C285" s="72" t="s">
        <v>205</v>
      </c>
      <c r="D285" s="73" t="s">
        <v>2087</v>
      </c>
      <c r="F285" s="72"/>
      <c r="G285" s="76"/>
      <c r="H285" s="76"/>
      <c r="I285" s="76"/>
      <c r="J285" s="73"/>
    </row>
    <row r="286" spans="3:13">
      <c r="C286" s="72" t="s">
        <v>205</v>
      </c>
      <c r="D286" s="73" t="s">
        <v>2088</v>
      </c>
      <c r="F286" s="72"/>
      <c r="G286" s="76"/>
      <c r="H286" s="76"/>
      <c r="I286" s="76"/>
      <c r="J286" s="73"/>
    </row>
    <row r="287" spans="3:13">
      <c r="C287" s="72" t="s">
        <v>205</v>
      </c>
      <c r="D287" s="73" t="s">
        <v>2089</v>
      </c>
      <c r="F287" s="72"/>
      <c r="G287" s="76"/>
      <c r="H287" s="76"/>
      <c r="I287" s="76"/>
      <c r="J287" s="73"/>
    </row>
    <row r="288" spans="3:13">
      <c r="C288" s="72" t="s">
        <v>205</v>
      </c>
      <c r="D288" s="73" t="s">
        <v>2090</v>
      </c>
      <c r="F288" s="72"/>
      <c r="G288" s="76"/>
      <c r="H288" s="76"/>
      <c r="I288" s="76"/>
      <c r="J288" s="73"/>
    </row>
    <row r="289" spans="3:10">
      <c r="C289" s="72" t="s">
        <v>205</v>
      </c>
      <c r="D289" s="73" t="s">
        <v>2091</v>
      </c>
      <c r="F289" s="72"/>
      <c r="G289" s="76"/>
      <c r="H289" s="76"/>
      <c r="I289" s="76"/>
      <c r="J289" s="73"/>
    </row>
    <row r="290" spans="3:10">
      <c r="C290" s="72" t="s">
        <v>205</v>
      </c>
      <c r="D290" s="73" t="s">
        <v>2092</v>
      </c>
      <c r="F290" s="72"/>
      <c r="G290" s="76"/>
      <c r="H290" s="76"/>
      <c r="I290" s="76"/>
      <c r="J290" s="73"/>
    </row>
    <row r="291" spans="3:10">
      <c r="C291" s="72" t="s">
        <v>205</v>
      </c>
      <c r="D291" s="73" t="s">
        <v>2093</v>
      </c>
      <c r="F291" s="72"/>
      <c r="G291" s="76"/>
      <c r="H291" s="76"/>
      <c r="I291" s="76"/>
      <c r="J291" s="73"/>
    </row>
    <row r="292" spans="3:10">
      <c r="C292" s="72" t="s">
        <v>205</v>
      </c>
      <c r="D292" s="73" t="s">
        <v>2085</v>
      </c>
      <c r="F292" s="72"/>
      <c r="G292" s="76"/>
      <c r="H292" s="76"/>
      <c r="I292" s="76"/>
      <c r="J292" s="73"/>
    </row>
    <row r="293" spans="3:10">
      <c r="C293" s="72" t="s">
        <v>205</v>
      </c>
      <c r="D293" s="73" t="s">
        <v>3417</v>
      </c>
      <c r="F293" s="72"/>
      <c r="G293" s="76"/>
      <c r="H293" s="76"/>
      <c r="I293" s="76"/>
      <c r="J293" s="73"/>
    </row>
    <row r="294" spans="3:10">
      <c r="C294" s="72" t="s">
        <v>205</v>
      </c>
      <c r="D294" s="73" t="s">
        <v>3418</v>
      </c>
      <c r="F294" s="72"/>
      <c r="G294" s="76"/>
      <c r="H294" s="76"/>
      <c r="I294" s="76"/>
      <c r="J294" s="73"/>
    </row>
    <row r="295" spans="3:10">
      <c r="C295" s="72" t="s">
        <v>205</v>
      </c>
      <c r="D295" s="73" t="s">
        <v>3419</v>
      </c>
      <c r="F295" s="72"/>
      <c r="G295" s="76"/>
      <c r="H295" s="76"/>
      <c r="I295" s="76"/>
      <c r="J295" s="73"/>
    </row>
    <row r="296" spans="3:10">
      <c r="C296" s="72" t="s">
        <v>205</v>
      </c>
      <c r="D296" s="73" t="s">
        <v>3420</v>
      </c>
      <c r="F296" s="72"/>
      <c r="G296" s="76"/>
      <c r="H296" s="76"/>
      <c r="I296" s="76"/>
      <c r="J296" s="73"/>
    </row>
    <row r="297" spans="3:10">
      <c r="C297" s="72" t="s">
        <v>206</v>
      </c>
      <c r="D297" s="73" t="s">
        <v>2094</v>
      </c>
      <c r="F297" s="72"/>
      <c r="G297" s="76"/>
      <c r="H297" s="76"/>
      <c r="I297" s="76"/>
      <c r="J297" s="73"/>
    </row>
    <row r="298" spans="3:10">
      <c r="C298" s="72" t="s">
        <v>206</v>
      </c>
      <c r="D298" s="73" t="s">
        <v>4274</v>
      </c>
      <c r="F298" s="72"/>
      <c r="G298" s="76"/>
      <c r="H298" s="76"/>
      <c r="I298" s="76"/>
      <c r="J298" s="73"/>
    </row>
    <row r="299" spans="3:10">
      <c r="C299" s="72" t="s">
        <v>206</v>
      </c>
      <c r="D299" s="73" t="s">
        <v>2095</v>
      </c>
      <c r="F299" s="72"/>
      <c r="G299" s="76"/>
      <c r="H299" s="76"/>
      <c r="I299" s="76"/>
      <c r="J299" s="73"/>
    </row>
    <row r="300" spans="3:10">
      <c r="C300" s="72" t="s">
        <v>206</v>
      </c>
      <c r="D300" s="73" t="s">
        <v>2086</v>
      </c>
      <c r="F300" s="72"/>
      <c r="G300" s="76"/>
      <c r="H300" s="76"/>
      <c r="I300" s="76"/>
      <c r="J300" s="73"/>
    </row>
    <row r="301" spans="3:10">
      <c r="C301" s="72" t="s">
        <v>206</v>
      </c>
      <c r="D301" s="73" t="s">
        <v>4275</v>
      </c>
      <c r="F301" s="72"/>
      <c r="G301" s="76"/>
      <c r="H301" s="76"/>
      <c r="I301" s="76"/>
      <c r="J301" s="73"/>
    </row>
    <row r="302" spans="3:10">
      <c r="C302" s="72" t="s">
        <v>206</v>
      </c>
      <c r="D302" s="73" t="s">
        <v>3421</v>
      </c>
      <c r="F302" s="72"/>
      <c r="G302" s="76"/>
      <c r="H302" s="76"/>
      <c r="I302" s="76"/>
      <c r="J302" s="73"/>
    </row>
    <row r="303" spans="3:10">
      <c r="C303" s="72" t="s">
        <v>206</v>
      </c>
      <c r="D303" s="73" t="s">
        <v>3422</v>
      </c>
      <c r="F303" s="72"/>
      <c r="G303" s="76"/>
      <c r="H303" s="76"/>
      <c r="I303" s="76"/>
      <c r="J303" s="73"/>
    </row>
    <row r="304" spans="3:10">
      <c r="C304" s="72" t="s">
        <v>206</v>
      </c>
      <c r="D304" s="73" t="s">
        <v>3423</v>
      </c>
      <c r="F304" s="72"/>
      <c r="G304" s="76"/>
      <c r="H304" s="76"/>
      <c r="I304" s="76"/>
      <c r="J304" s="73"/>
    </row>
    <row r="305" spans="3:10">
      <c r="C305" s="72" t="s">
        <v>206</v>
      </c>
      <c r="D305" s="73" t="s">
        <v>3424</v>
      </c>
      <c r="F305" s="72"/>
      <c r="G305" s="76"/>
      <c r="H305" s="76"/>
      <c r="I305" s="76"/>
      <c r="J305" s="73"/>
    </row>
    <row r="306" spans="3:10">
      <c r="C306" s="72" t="s">
        <v>206</v>
      </c>
      <c r="D306" s="73" t="s">
        <v>3425</v>
      </c>
      <c r="F306" s="72"/>
      <c r="G306" s="76"/>
      <c r="H306" s="76"/>
      <c r="I306" s="76"/>
      <c r="J306" s="73"/>
    </row>
    <row r="307" spans="3:10">
      <c r="C307" s="72" t="s">
        <v>206</v>
      </c>
      <c r="D307" s="73" t="s">
        <v>3426</v>
      </c>
      <c r="F307" s="72"/>
      <c r="G307" s="76"/>
      <c r="H307" s="76"/>
      <c r="I307" s="76"/>
      <c r="J307" s="73"/>
    </row>
    <row r="308" spans="3:10">
      <c r="C308" s="72" t="s">
        <v>206</v>
      </c>
      <c r="D308" s="73" t="s">
        <v>3427</v>
      </c>
      <c r="F308" s="72"/>
      <c r="G308" s="76"/>
      <c r="H308" s="76"/>
      <c r="I308" s="76"/>
      <c r="J308" s="73"/>
    </row>
    <row r="309" spans="3:10">
      <c r="C309" s="72" t="s">
        <v>206</v>
      </c>
      <c r="D309" s="73" t="s">
        <v>3428</v>
      </c>
      <c r="F309" s="72"/>
      <c r="G309" s="76"/>
      <c r="H309" s="76"/>
      <c r="I309" s="76"/>
      <c r="J309" s="73"/>
    </row>
    <row r="310" spans="3:10">
      <c r="C310" s="72" t="s">
        <v>206</v>
      </c>
      <c r="D310" s="73" t="s">
        <v>3429</v>
      </c>
      <c r="F310" s="72"/>
      <c r="G310" s="76"/>
      <c r="H310" s="76"/>
      <c r="I310" s="76"/>
      <c r="J310" s="73"/>
    </row>
    <row r="311" spans="3:10">
      <c r="C311" s="72" t="s">
        <v>206</v>
      </c>
      <c r="D311" s="73" t="s">
        <v>3430</v>
      </c>
      <c r="F311" s="72"/>
      <c r="G311" s="76"/>
      <c r="H311" s="76"/>
      <c r="I311" s="76"/>
      <c r="J311" s="73"/>
    </row>
    <row r="312" spans="3:10">
      <c r="C312" s="72" t="s">
        <v>206</v>
      </c>
      <c r="D312" s="73" t="s">
        <v>3431</v>
      </c>
      <c r="F312" s="72"/>
      <c r="G312" s="76"/>
      <c r="H312" s="76"/>
      <c r="I312" s="76"/>
      <c r="J312" s="73"/>
    </row>
    <row r="313" spans="3:10">
      <c r="C313" s="72" t="s">
        <v>206</v>
      </c>
      <c r="D313" s="73" t="s">
        <v>3432</v>
      </c>
      <c r="F313" s="72"/>
      <c r="G313" s="76"/>
      <c r="H313" s="76"/>
      <c r="I313" s="76"/>
      <c r="J313" s="73"/>
    </row>
    <row r="314" spans="3:10">
      <c r="C314" s="72" t="s">
        <v>207</v>
      </c>
      <c r="D314" s="73" t="s">
        <v>2096</v>
      </c>
      <c r="F314" s="72"/>
      <c r="G314" s="76"/>
      <c r="H314" s="76"/>
      <c r="I314" s="76"/>
      <c r="J314" s="73"/>
    </row>
    <row r="315" spans="3:10">
      <c r="C315" s="72" t="s">
        <v>207</v>
      </c>
      <c r="D315" s="73" t="s">
        <v>4276</v>
      </c>
      <c r="F315" s="72"/>
      <c r="G315" s="76"/>
      <c r="H315" s="76"/>
      <c r="I315" s="76"/>
      <c r="J315" s="73"/>
    </row>
    <row r="316" spans="3:10">
      <c r="C316" s="72" t="s">
        <v>207</v>
      </c>
      <c r="D316" s="73" t="s">
        <v>2097</v>
      </c>
      <c r="F316" s="72"/>
      <c r="G316" s="76"/>
      <c r="H316" s="76"/>
      <c r="I316" s="76"/>
      <c r="J316" s="73"/>
    </row>
    <row r="317" spans="3:10">
      <c r="C317" s="72" t="s">
        <v>207</v>
      </c>
      <c r="D317" s="73" t="s">
        <v>2098</v>
      </c>
      <c r="F317" s="72"/>
      <c r="G317" s="76"/>
      <c r="H317" s="76"/>
      <c r="I317" s="76"/>
      <c r="J317" s="73"/>
    </row>
    <row r="318" spans="3:10">
      <c r="C318" s="72" t="s">
        <v>207</v>
      </c>
      <c r="D318" s="73" t="s">
        <v>2099</v>
      </c>
      <c r="F318" s="72"/>
      <c r="G318" s="76"/>
      <c r="H318" s="76"/>
      <c r="I318" s="76"/>
      <c r="J318" s="73"/>
    </row>
    <row r="319" spans="3:10">
      <c r="C319" s="72" t="s">
        <v>207</v>
      </c>
      <c r="D319" s="73" t="s">
        <v>2100</v>
      </c>
      <c r="F319" s="72"/>
      <c r="G319" s="76"/>
      <c r="H319" s="76"/>
      <c r="I319" s="76"/>
      <c r="J319" s="73"/>
    </row>
    <row r="320" spans="3:10">
      <c r="C320" s="72" t="s">
        <v>207</v>
      </c>
      <c r="D320" s="73" t="s">
        <v>4277</v>
      </c>
      <c r="F320" s="72"/>
      <c r="G320" s="76"/>
      <c r="H320" s="76"/>
      <c r="I320" s="76"/>
      <c r="J320" s="73"/>
    </row>
    <row r="321" spans="3:10">
      <c r="C321" s="72" t="s">
        <v>207</v>
      </c>
      <c r="D321" s="73" t="s">
        <v>4278</v>
      </c>
      <c r="F321" s="72"/>
      <c r="G321" s="76"/>
      <c r="H321" s="76"/>
      <c r="I321" s="76"/>
      <c r="J321" s="73"/>
    </row>
    <row r="322" spans="3:10">
      <c r="C322" s="72" t="s">
        <v>207</v>
      </c>
      <c r="D322" s="73" t="s">
        <v>3433</v>
      </c>
      <c r="F322" s="72"/>
      <c r="G322" s="76"/>
      <c r="H322" s="76"/>
      <c r="I322" s="76"/>
      <c r="J322" s="73"/>
    </row>
    <row r="323" spans="3:10">
      <c r="C323" s="72" t="s">
        <v>207</v>
      </c>
      <c r="D323" s="73" t="s">
        <v>3434</v>
      </c>
      <c r="F323" s="72"/>
      <c r="G323" s="76"/>
      <c r="H323" s="76"/>
      <c r="I323" s="76"/>
      <c r="J323" s="73"/>
    </row>
    <row r="324" spans="3:10" ht="15.75" thickBot="1">
      <c r="C324" s="72" t="s">
        <v>207</v>
      </c>
      <c r="D324" s="73" t="s">
        <v>3435</v>
      </c>
      <c r="F324" s="74"/>
      <c r="G324" s="77"/>
      <c r="H324" s="77"/>
      <c r="I324" s="77"/>
      <c r="J324" s="75"/>
    </row>
    <row r="325" spans="3:10">
      <c r="C325" s="72" t="s">
        <v>207</v>
      </c>
      <c r="D325" s="73" t="s">
        <v>3436</v>
      </c>
    </row>
    <row r="326" spans="3:10">
      <c r="C326" s="72" t="s">
        <v>208</v>
      </c>
      <c r="D326" s="73" t="s">
        <v>2147</v>
      </c>
    </row>
    <row r="327" spans="3:10">
      <c r="C327" s="72" t="s">
        <v>208</v>
      </c>
      <c r="D327" s="73" t="s">
        <v>4279</v>
      </c>
    </row>
    <row r="328" spans="3:10">
      <c r="C328" s="72" t="s">
        <v>208</v>
      </c>
      <c r="D328" s="73" t="s">
        <v>2101</v>
      </c>
    </row>
    <row r="329" spans="3:10">
      <c r="C329" s="72" t="s">
        <v>208</v>
      </c>
      <c r="D329" s="73" t="s">
        <v>2102</v>
      </c>
    </row>
    <row r="330" spans="3:10">
      <c r="C330" s="72" t="s">
        <v>208</v>
      </c>
      <c r="D330" s="73" t="s">
        <v>4280</v>
      </c>
    </row>
    <row r="331" spans="3:10">
      <c r="C331" s="72" t="s">
        <v>208</v>
      </c>
      <c r="D331" s="73" t="s">
        <v>2103</v>
      </c>
    </row>
    <row r="332" spans="3:10">
      <c r="C332" s="72" t="s">
        <v>208</v>
      </c>
      <c r="D332" s="73" t="s">
        <v>3437</v>
      </c>
    </row>
    <row r="333" spans="3:10">
      <c r="C333" s="72" t="s">
        <v>208</v>
      </c>
      <c r="D333" s="73" t="s">
        <v>3438</v>
      </c>
    </row>
    <row r="334" spans="3:10">
      <c r="C334" s="72" t="s">
        <v>208</v>
      </c>
      <c r="D334" s="73" t="s">
        <v>3439</v>
      </c>
    </row>
    <row r="335" spans="3:10">
      <c r="C335" s="72" t="s">
        <v>208</v>
      </c>
      <c r="D335" s="73" t="s">
        <v>3440</v>
      </c>
    </row>
    <row r="336" spans="3:10">
      <c r="C336" s="72" t="s">
        <v>208</v>
      </c>
      <c r="D336" s="73" t="s">
        <v>3441</v>
      </c>
    </row>
    <row r="337" spans="3:4">
      <c r="C337" s="72" t="s">
        <v>208</v>
      </c>
      <c r="D337" s="73" t="s">
        <v>3442</v>
      </c>
    </row>
    <row r="338" spans="3:4">
      <c r="C338" s="72" t="s">
        <v>209</v>
      </c>
      <c r="D338" s="73" t="s">
        <v>2104</v>
      </c>
    </row>
    <row r="339" spans="3:4">
      <c r="C339" s="72" t="s">
        <v>209</v>
      </c>
      <c r="D339" s="73" t="s">
        <v>4281</v>
      </c>
    </row>
    <row r="340" spans="3:4">
      <c r="C340" s="72" t="s">
        <v>209</v>
      </c>
      <c r="D340" s="73" t="s">
        <v>2105</v>
      </c>
    </row>
    <row r="341" spans="3:4">
      <c r="C341" s="72" t="s">
        <v>209</v>
      </c>
      <c r="D341" s="73" t="s">
        <v>2106</v>
      </c>
    </row>
    <row r="342" spans="3:4">
      <c r="C342" s="72" t="s">
        <v>209</v>
      </c>
      <c r="D342" s="73" t="s">
        <v>3443</v>
      </c>
    </row>
    <row r="343" spans="3:4">
      <c r="C343" s="72" t="s">
        <v>209</v>
      </c>
      <c r="D343" s="73" t="s">
        <v>3444</v>
      </c>
    </row>
    <row r="344" spans="3:4">
      <c r="C344" s="72" t="s">
        <v>209</v>
      </c>
      <c r="D344" s="73" t="s">
        <v>3445</v>
      </c>
    </row>
    <row r="345" spans="3:4">
      <c r="C345" s="72" t="s">
        <v>210</v>
      </c>
      <c r="D345" s="73" t="s">
        <v>4282</v>
      </c>
    </row>
    <row r="346" spans="3:4">
      <c r="C346" s="72" t="s">
        <v>210</v>
      </c>
      <c r="D346" s="73" t="s">
        <v>4283</v>
      </c>
    </row>
    <row r="347" spans="3:4">
      <c r="C347" s="72" t="s">
        <v>210</v>
      </c>
      <c r="D347" s="73" t="s">
        <v>2107</v>
      </c>
    </row>
    <row r="348" spans="3:4">
      <c r="C348" s="72" t="s">
        <v>210</v>
      </c>
      <c r="D348" s="73" t="s">
        <v>2108</v>
      </c>
    </row>
    <row r="349" spans="3:4">
      <c r="C349" s="72" t="s">
        <v>210</v>
      </c>
      <c r="D349" s="73" t="s">
        <v>2109</v>
      </c>
    </row>
    <row r="350" spans="3:4">
      <c r="C350" s="72" t="s">
        <v>210</v>
      </c>
      <c r="D350" s="73" t="s">
        <v>2110</v>
      </c>
    </row>
    <row r="351" spans="3:4">
      <c r="C351" s="72" t="s">
        <v>210</v>
      </c>
      <c r="D351" s="73" t="s">
        <v>3446</v>
      </c>
    </row>
    <row r="352" spans="3:4">
      <c r="C352" s="72" t="s">
        <v>210</v>
      </c>
      <c r="D352" s="73" t="s">
        <v>3377</v>
      </c>
    </row>
    <row r="353" spans="3:4">
      <c r="C353" s="72" t="s">
        <v>210</v>
      </c>
      <c r="D353" s="73" t="s">
        <v>3447</v>
      </c>
    </row>
    <row r="354" spans="3:4">
      <c r="C354" s="72" t="s">
        <v>210</v>
      </c>
      <c r="D354" s="73" t="s">
        <v>3448</v>
      </c>
    </row>
    <row r="355" spans="3:4">
      <c r="C355" s="72" t="s">
        <v>210</v>
      </c>
      <c r="D355" s="73" t="s">
        <v>3449</v>
      </c>
    </row>
    <row r="356" spans="3:4" ht="15.75" thickBot="1">
      <c r="C356" s="74" t="s">
        <v>210</v>
      </c>
      <c r="D356" s="75" t="s">
        <v>3380</v>
      </c>
    </row>
    <row r="357" spans="3:4">
      <c r="C357" t="s">
        <v>210</v>
      </c>
      <c r="D357" t="s">
        <v>3450</v>
      </c>
    </row>
    <row r="358" spans="3:4">
      <c r="C358" t="s">
        <v>210</v>
      </c>
      <c r="D358" t="s">
        <v>3451</v>
      </c>
    </row>
    <row r="359" spans="3:4">
      <c r="C359" t="s">
        <v>210</v>
      </c>
      <c r="D359" t="s">
        <v>3452</v>
      </c>
    </row>
    <row r="360" spans="3:4">
      <c r="C360" t="s">
        <v>210</v>
      </c>
      <c r="D360" t="s">
        <v>3383</v>
      </c>
    </row>
    <row r="361" spans="3:4">
      <c r="C361" t="s">
        <v>211</v>
      </c>
      <c r="D361" t="s">
        <v>4284</v>
      </c>
    </row>
    <row r="362" spans="3:4">
      <c r="C362" t="s">
        <v>211</v>
      </c>
      <c r="D362" t="s">
        <v>4285</v>
      </c>
    </row>
    <row r="363" spans="3:4">
      <c r="C363" t="s">
        <v>211</v>
      </c>
      <c r="D363" t="s">
        <v>2111</v>
      </c>
    </row>
    <row r="364" spans="3:4">
      <c r="C364" t="s">
        <v>211</v>
      </c>
      <c r="D364" t="s">
        <v>2112</v>
      </c>
    </row>
    <row r="365" spans="3:4">
      <c r="C365" t="s">
        <v>211</v>
      </c>
      <c r="D365" t="s">
        <v>3453</v>
      </c>
    </row>
    <row r="366" spans="3:4">
      <c r="C366" t="s">
        <v>211</v>
      </c>
      <c r="D366" t="s">
        <v>3454</v>
      </c>
    </row>
    <row r="367" spans="3:4">
      <c r="C367" t="s">
        <v>211</v>
      </c>
      <c r="D367" t="s">
        <v>3455</v>
      </c>
    </row>
    <row r="368" spans="3:4">
      <c r="C368" t="s">
        <v>211</v>
      </c>
      <c r="D368" t="s">
        <v>3456</v>
      </c>
    </row>
    <row r="369" spans="3:4">
      <c r="C369" t="s">
        <v>211</v>
      </c>
      <c r="D369" t="s">
        <v>3457</v>
      </c>
    </row>
    <row r="370" spans="3:4">
      <c r="C370" t="s">
        <v>211</v>
      </c>
      <c r="D370" t="s">
        <v>3458</v>
      </c>
    </row>
    <row r="371" spans="3:4">
      <c r="C371" t="s">
        <v>212</v>
      </c>
      <c r="D371" t="s">
        <v>4286</v>
      </c>
    </row>
    <row r="372" spans="3:4">
      <c r="C372" t="s">
        <v>212</v>
      </c>
      <c r="D372" t="s">
        <v>4287</v>
      </c>
    </row>
    <row r="373" spans="3:4">
      <c r="C373" t="s">
        <v>212</v>
      </c>
      <c r="D373" t="s">
        <v>2113</v>
      </c>
    </row>
    <row r="374" spans="3:4">
      <c r="C374" t="s">
        <v>212</v>
      </c>
      <c r="D374" t="s">
        <v>2114</v>
      </c>
    </row>
    <row r="375" spans="3:4">
      <c r="C375" t="s">
        <v>212</v>
      </c>
      <c r="D375" t="s">
        <v>2115</v>
      </c>
    </row>
    <row r="376" spans="3:4">
      <c r="C376" t="s">
        <v>212</v>
      </c>
      <c r="D376" t="s">
        <v>2116</v>
      </c>
    </row>
    <row r="377" spans="3:4">
      <c r="C377" t="s">
        <v>212</v>
      </c>
      <c r="D377" t="s">
        <v>3459</v>
      </c>
    </row>
    <row r="378" spans="3:4">
      <c r="C378" t="s">
        <v>212</v>
      </c>
      <c r="D378" t="s">
        <v>3460</v>
      </c>
    </row>
    <row r="379" spans="3:4">
      <c r="C379" t="s">
        <v>212</v>
      </c>
      <c r="D379" t="s">
        <v>3461</v>
      </c>
    </row>
    <row r="380" spans="3:4">
      <c r="C380" t="s">
        <v>212</v>
      </c>
      <c r="D380" t="s">
        <v>3462</v>
      </c>
    </row>
    <row r="381" spans="3:4">
      <c r="C381" t="s">
        <v>212</v>
      </c>
      <c r="D381" t="s">
        <v>3463</v>
      </c>
    </row>
    <row r="382" spans="3:4">
      <c r="C382" t="s">
        <v>212</v>
      </c>
      <c r="D382" t="s">
        <v>3464</v>
      </c>
    </row>
    <row r="383" spans="3:4">
      <c r="C383" t="s">
        <v>213</v>
      </c>
      <c r="D383" t="s">
        <v>1327</v>
      </c>
    </row>
    <row r="384" spans="3:4">
      <c r="C384" t="s">
        <v>213</v>
      </c>
      <c r="D384" t="s">
        <v>4288</v>
      </c>
    </row>
    <row r="385" spans="3:4">
      <c r="C385" t="s">
        <v>213</v>
      </c>
      <c r="D385" t="s">
        <v>1369</v>
      </c>
    </row>
    <row r="386" spans="3:4">
      <c r="C386" t="s">
        <v>213</v>
      </c>
      <c r="D386" t="s">
        <v>1370</v>
      </c>
    </row>
    <row r="387" spans="3:4">
      <c r="C387" t="s">
        <v>213</v>
      </c>
      <c r="D387" t="s">
        <v>1371</v>
      </c>
    </row>
    <row r="388" spans="3:4">
      <c r="C388" t="s">
        <v>213</v>
      </c>
      <c r="D388" t="s">
        <v>3465</v>
      </c>
    </row>
    <row r="389" spans="3:4">
      <c r="C389" t="s">
        <v>213</v>
      </c>
      <c r="D389" t="s">
        <v>3466</v>
      </c>
    </row>
    <row r="390" spans="3:4">
      <c r="C390" t="s">
        <v>214</v>
      </c>
      <c r="D390" t="s">
        <v>2117</v>
      </c>
    </row>
    <row r="391" spans="3:4">
      <c r="C391" t="s">
        <v>214</v>
      </c>
      <c r="D391" t="s">
        <v>2118</v>
      </c>
    </row>
    <row r="392" spans="3:4">
      <c r="C392" t="s">
        <v>214</v>
      </c>
      <c r="D392" t="s">
        <v>2119</v>
      </c>
    </row>
    <row r="393" spans="3:4">
      <c r="C393" t="s">
        <v>214</v>
      </c>
      <c r="D393" t="s">
        <v>4289</v>
      </c>
    </row>
    <row r="394" spans="3:4">
      <c r="C394" t="s">
        <v>214</v>
      </c>
      <c r="D394" t="s">
        <v>4290</v>
      </c>
    </row>
    <row r="395" spans="3:4">
      <c r="C395" t="s">
        <v>214</v>
      </c>
      <c r="D395" t="s">
        <v>3467</v>
      </c>
    </row>
    <row r="396" spans="3:4">
      <c r="C396" t="s">
        <v>214</v>
      </c>
      <c r="D396" t="s">
        <v>3468</v>
      </c>
    </row>
    <row r="397" spans="3:4">
      <c r="C397" t="s">
        <v>214</v>
      </c>
      <c r="D397" t="s">
        <v>3469</v>
      </c>
    </row>
    <row r="398" spans="3:4">
      <c r="C398" t="s">
        <v>214</v>
      </c>
      <c r="D398" t="s">
        <v>3470</v>
      </c>
    </row>
    <row r="399" spans="3:4">
      <c r="C399" t="s">
        <v>214</v>
      </c>
      <c r="D399" t="s">
        <v>3471</v>
      </c>
    </row>
    <row r="400" spans="3:4">
      <c r="C400" t="s">
        <v>215</v>
      </c>
      <c r="D400" t="s">
        <v>2120</v>
      </c>
    </row>
    <row r="401" spans="3:4">
      <c r="C401" t="s">
        <v>215</v>
      </c>
      <c r="D401" t="s">
        <v>4291</v>
      </c>
    </row>
    <row r="402" spans="3:4">
      <c r="C402" t="s">
        <v>215</v>
      </c>
      <c r="D402" t="s">
        <v>2121</v>
      </c>
    </row>
    <row r="403" spans="3:4">
      <c r="C403" t="s">
        <v>215</v>
      </c>
      <c r="D403" t="s">
        <v>2122</v>
      </c>
    </row>
    <row r="404" spans="3:4">
      <c r="C404" t="s">
        <v>216</v>
      </c>
      <c r="D404" t="s">
        <v>2123</v>
      </c>
    </row>
    <row r="405" spans="3:4">
      <c r="C405" t="s">
        <v>216</v>
      </c>
      <c r="D405" t="s">
        <v>4292</v>
      </c>
    </row>
    <row r="406" spans="3:4">
      <c r="C406" t="s">
        <v>216</v>
      </c>
      <c r="D406" t="s">
        <v>2124</v>
      </c>
    </row>
    <row r="407" spans="3:4">
      <c r="C407" t="s">
        <v>216</v>
      </c>
      <c r="D407" t="s">
        <v>2125</v>
      </c>
    </row>
    <row r="408" spans="3:4">
      <c r="C408" t="s">
        <v>216</v>
      </c>
      <c r="D408" t="s">
        <v>2126</v>
      </c>
    </row>
    <row r="409" spans="3:4">
      <c r="C409" t="s">
        <v>216</v>
      </c>
      <c r="D409" t="s">
        <v>2127</v>
      </c>
    </row>
    <row r="410" spans="3:4">
      <c r="C410" t="s">
        <v>216</v>
      </c>
      <c r="D410" t="s">
        <v>2128</v>
      </c>
    </row>
    <row r="411" spans="3:4">
      <c r="C411" t="s">
        <v>216</v>
      </c>
      <c r="D411" t="s">
        <v>2129</v>
      </c>
    </row>
    <row r="412" spans="3:4">
      <c r="C412" t="s">
        <v>217</v>
      </c>
      <c r="D412" t="s">
        <v>2130</v>
      </c>
    </row>
    <row r="413" spans="3:4">
      <c r="C413" t="s">
        <v>217</v>
      </c>
      <c r="D413" t="s">
        <v>4293</v>
      </c>
    </row>
    <row r="414" spans="3:4">
      <c r="C414" t="s">
        <v>217</v>
      </c>
      <c r="D414" t="s">
        <v>2131</v>
      </c>
    </row>
    <row r="415" spans="3:4">
      <c r="C415" t="s">
        <v>217</v>
      </c>
      <c r="D415" t="s">
        <v>2132</v>
      </c>
    </row>
    <row r="416" spans="3:4">
      <c r="C416" t="s">
        <v>217</v>
      </c>
      <c r="D416" t="s">
        <v>3472</v>
      </c>
    </row>
    <row r="417" spans="3:4">
      <c r="C417" t="s">
        <v>218</v>
      </c>
      <c r="D417" t="s">
        <v>2133</v>
      </c>
    </row>
    <row r="418" spans="3:4">
      <c r="C418" t="s">
        <v>218</v>
      </c>
      <c r="D418" t="s">
        <v>4294</v>
      </c>
    </row>
    <row r="419" spans="3:4">
      <c r="C419" t="s">
        <v>218</v>
      </c>
      <c r="D419" t="s">
        <v>4295</v>
      </c>
    </row>
    <row r="420" spans="3:4">
      <c r="C420" t="s">
        <v>218</v>
      </c>
      <c r="D420" t="s">
        <v>2134</v>
      </c>
    </row>
    <row r="421" spans="3:4">
      <c r="C421" t="s">
        <v>218</v>
      </c>
      <c r="D421" t="s">
        <v>4296</v>
      </c>
    </row>
    <row r="422" spans="3:4">
      <c r="C422" t="s">
        <v>178</v>
      </c>
      <c r="D422" t="s">
        <v>2135</v>
      </c>
    </row>
    <row r="423" spans="3:4">
      <c r="C423" t="s">
        <v>178</v>
      </c>
      <c r="D423" t="s">
        <v>4297</v>
      </c>
    </row>
    <row r="424" spans="3:4">
      <c r="C424" t="s">
        <v>178</v>
      </c>
      <c r="D424" t="s">
        <v>2136</v>
      </c>
    </row>
    <row r="425" spans="3:4">
      <c r="C425" t="s">
        <v>178</v>
      </c>
      <c r="D425" t="s">
        <v>2137</v>
      </c>
    </row>
    <row r="426" spans="3:4">
      <c r="C426" t="s">
        <v>178</v>
      </c>
      <c r="D426" t="s">
        <v>2138</v>
      </c>
    </row>
    <row r="427" spans="3:4">
      <c r="C427" t="s">
        <v>178</v>
      </c>
      <c r="D427" t="s">
        <v>2139</v>
      </c>
    </row>
    <row r="428" spans="3:4">
      <c r="C428" t="s">
        <v>178</v>
      </c>
      <c r="D428" t="s">
        <v>2140</v>
      </c>
    </row>
    <row r="429" spans="3:4">
      <c r="C429" t="s">
        <v>178</v>
      </c>
      <c r="D429" t="s">
        <v>2142</v>
      </c>
    </row>
    <row r="430" spans="3:4">
      <c r="C430" t="s">
        <v>178</v>
      </c>
      <c r="D430" t="s">
        <v>2143</v>
      </c>
    </row>
    <row r="431" spans="3:4">
      <c r="C431" t="s">
        <v>178</v>
      </c>
      <c r="D431" t="s">
        <v>2144</v>
      </c>
    </row>
    <row r="432" spans="3:4">
      <c r="C432" t="s">
        <v>178</v>
      </c>
      <c r="D432" t="s">
        <v>3473</v>
      </c>
    </row>
  </sheetData>
  <mergeCells count="3">
    <mergeCell ref="C1:H1"/>
    <mergeCell ref="C241:D241"/>
    <mergeCell ref="F241:J241"/>
  </mergeCells>
  <dataValidations count="5">
    <dataValidation type="custom" allowBlank="1" showInputMessage="1" showErrorMessage="1" sqref="E239 E226:E227 E219:E220 E196:E197 E173:E174 E159:E160 E10 E3:E4 E35:E36 E27:E28 E49:E50 E57:E58 E72:E73 E92:E93 E106:E107 E120:E121 E129:E130 E147:E148 E183:E184 E212:E213 E202:E203">
      <formula1>"Referencia,Servicios"</formula1>
    </dataValidation>
    <dataValidation type="list" allowBlank="1" showInputMessage="1" showErrorMessage="1" sqref="E228:E238 E11:E26 E214:E218 E175:E182 E131:E146 E149:E158 E29:E34 E198:E201 E37:E48 E51:E56 E5:E9 E59:E71 E74:E91 E94:E105 E108:E119 E122:E128 E161:E172 E185:E195 E204:E211 E221:E225">
      <formula1>"Servicios,Referencia"</formula1>
    </dataValidation>
    <dataValidation type="list" allowBlank="1" showInputMessage="1" showErrorMessage="1" sqref="F228:F238 F198:F201 F185:F195 F149:F158 F131:F146 F11:F26 F29:F34 F37:F48 F51:F56 F5:F9 F59:F71 F74:F91 F94:F105 F122:F128 F108:F119 F161:F172 F175:F182 F204:F211 F214:F218 F221:F225">
      <formula1>Clase</formula1>
    </dataValidation>
    <dataValidation type="list" allowBlank="1" showInputMessage="1" showErrorMessage="1" sqref="D228:D238 D204:D211 D161:D172 D131:D146 D149:D158 D5:D9 D11:D26 D37:D48 D51:D56 D59:D71 D29:D34 D74:D91 D94:D105 D108:D119 D122:D128 D175:D182 D185:D195 D198:D201 D214:D218 D221:D225">
      <formula1>Estaciones</formula1>
    </dataValidation>
    <dataValidation type="list" allowBlank="1" showInputMessage="1" showErrorMessage="1" sqref="C228:C238 C204:C211 C161:C172 C131:C146 C149:C158 C5:C9 C11:C26 C37:C48 C51:C56 C29:C34 C59:C71 C74:C91 C94:C105 C108:C119 C122:C128 C175:C182 C185:C195 C198:C201 C214:C218 C221:C225">
      <formula1>Grupo</formula1>
    </dataValidation>
  </dataValidations>
  <hyperlinks>
    <hyperlink ref="I6" r:id="rId1" display="http://toolserver.org/~geohack/geohack.php?pagename=Observatorio_(estaci%C3%B3n)&amp;language=es&amp;params=19.398237_N_99.200363_W_"/>
    <hyperlink ref="I12" r:id="rId2" display="http://toolserver.org/~geohack/geohack.php?pagename=Tacubaya_(estaci%C3%B3n)&amp;language=es&amp;params=19.403439_N_99.187102_W_region:MX_type:railwaystation"/>
    <hyperlink ref="I30" r:id="rId3" display="http://toolserver.org/~geohack/geohack.php?pagename=Juanacatl%C3%A1n_(estaci%C3%B3n)&amp;language=es&amp;params=19.41289_N_99.182167_W_region:MX_type:railwaystation"/>
    <hyperlink ref="I38" r:id="rId4" display="http://toolserver.org/~geohack/geohack.php?pagename=Chapultepec_(estaci%C3%B3n)&amp;language=es&amp;params=19.420830_N_99.176943_W_region:MX_type:railwaystation"/>
    <hyperlink ref="I52" r:id="rId5" display="http://toolserver.org/~geohack/geohack.php?pagename=Sevilla_(estaci%C3%B3n_Metro_de_Ciudad_de_M%C3%A9xico)&amp;language=es&amp;params=19.421916_N_99.17058_W_region:MX_type:railwaystation"/>
    <hyperlink ref="I60" r:id="rId6" display="http://toolserver.org/~geohack/geohack.php?pagename=Insurgentes_(estaci%C3%B3n)&amp;language=es&amp;params=19.423292_N_99.163177_W_region:MX_type:railwaystation"/>
    <hyperlink ref="I75" r:id="rId7" display="http://toolserver.org/~geohack/geohack.php?pagename=Cuauht%C3%A9moc_(estaci%C3%B3n)&amp;language=es&amp;params=19.425862_N_99.154701_W_region:MX_type:railwaystation"/>
    <hyperlink ref="I95" r:id="rId8" display="http://toolserver.org/~geohack/geohack.php?pagename=Balderas_(estaci%C3%B3n)&amp;language=es&amp;params=19.42744_N_99.149036_W_region:MX_type:railwaystation"/>
    <hyperlink ref="I109" r:id="rId9" display="http://toolserver.org/~geohack/geohack.php?pagename=Salto_del_Agua_(estaci%C3%B3n)&amp;language=es&amp;params=19.426813_N_99.142213_W_region:MX_type:railwaystation"/>
    <hyperlink ref="I123" r:id="rId10" display="http://toolserver.org/~geohack/geohack.php?pagename=Isabel_la_Cat%C3%B3lica_(estaci%C3%B3n)&amp;language=es&amp;params=19.426732_N_99.137685_W_region:MX_type:railwaystation"/>
    <hyperlink ref="I132" r:id="rId11" display="http://toolserver.org/~geohack/geohack.php?pagename=Pino_Su%C3%A1rez_(estaci%C3%B3n)&amp;language=es&amp;params=19.425336_N_99.132943_W_region:MX_type:railwaystation"/>
    <hyperlink ref="I150" r:id="rId12" display="http://toolserver.org/~geohack/geohack.php?pagename=Merced_(estaci%C3%B3n)&amp;language=es&amp;params=19.425558_N_99.124639_W_region:MX_type:railwaystation"/>
    <hyperlink ref="I162" r:id="rId13" display="http://toolserver.org/~geohack/geohack.php?pagename=Candelaria_(estaci%C3%B3n_Metro_de_Ciudad_de_M%C3%A9xico)&amp;language=es&amp;params=19.428837_N_99.119511_W_region:MX_type:railwaystation"/>
    <hyperlink ref="I176" r:id="rId14" display="http://toolserver.org/~geohack/geohack.php?pagename=San_L%C3%A1zaro_(estaci%C3%B3n)&amp;language=es&amp;params=19.430213_N_99.114833_W_region:MX_type:railwaystation"/>
    <hyperlink ref="I186" r:id="rId15" display="http://toolserver.org/~geohack/geohack.php?pagename=Moctezuma_(estaci%C3%B3n)&amp;language=es&amp;params=19.427218_N_99.110305_W_region:MX_type:railwaystation"/>
    <hyperlink ref="I199" r:id="rId16" display="http://toolserver.org/~geohack/geohack.php?pagename=Balbuena_(estaci%C3%B3n)&amp;language=es&amp;params=19.423231_N_99.102302_W_region:MX_type:railwaystation"/>
    <hyperlink ref="I205" r:id="rId17" display="http://toolserver.org/~geohack/geohack.php?pagename=Boulevard_Puerto_A%C3%A9reo_(estaci%C3%B3n)&amp;language=es&amp;params=19.41967_N_99.09595_W_region:MX_type:railwaystation"/>
    <hyperlink ref="I215" r:id="rId18" display="http://toolserver.org/~geohack/geohack.php?pagename=G%C3%B3mez_Far%C3%ADas_(estaci%C3%B3n)&amp;language=es&amp;params=19.416472_N_99.09035_W_region:MX_type:railwaystation"/>
    <hyperlink ref="I222" r:id="rId19" display="http://toolserver.org/~geohack/geohack.php?pagename=Zaragoza_(estaci%C3%B3n)&amp;language=es&amp;params=19.412344_N_99.08241_W_region:MX_type:railwaystation"/>
    <hyperlink ref="I229" r:id="rId20" display="http://toolserver.org/~geohack/geohack.php?pagename=Pantitl%C3%A1n_(estaci%C3%B3n)&amp;language=es&amp;params=19.415359_N_99.072132_W_region:MX_type:landmark_scale:5000"/>
  </hyperlinks>
  <pageMargins left="0.7" right="0.7" top="0.75" bottom="0.75" header="0.3" footer="0.3"/>
  <legacyDrawing r:id="rId21"/>
</worksheet>
</file>

<file path=xl/worksheets/sheet12.xml><?xml version="1.0" encoding="utf-8"?>
<worksheet xmlns="http://schemas.openxmlformats.org/spreadsheetml/2006/main" xmlns:r="http://schemas.openxmlformats.org/officeDocument/2006/relationships">
  <sheetPr codeName="Hoja16"/>
  <dimension ref="B1:M651"/>
  <sheetViews>
    <sheetView topLeftCell="A331" workbookViewId="0">
      <selection activeCell="G214" sqref="G214"/>
    </sheetView>
  </sheetViews>
  <sheetFormatPr baseColWidth="10" defaultRowHeight="15"/>
  <cols>
    <col min="1" max="1" width="3" customWidth="1"/>
    <col min="2" max="2" width="4.42578125" bestFit="1" customWidth="1"/>
    <col min="3" max="3" width="20"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347</v>
      </c>
      <c r="C3" s="33" t="s">
        <v>2</v>
      </c>
      <c r="D3" s="34" t="s">
        <v>1</v>
      </c>
      <c r="E3" s="34" t="s">
        <v>862</v>
      </c>
      <c r="F3" s="34" t="s">
        <v>863</v>
      </c>
      <c r="G3" s="34" t="s">
        <v>864</v>
      </c>
      <c r="H3" s="35" t="s">
        <v>358</v>
      </c>
    </row>
    <row r="4" spans="2:9" s="25" customFormat="1" ht="9" customHeight="1" thickBot="1">
      <c r="B4" s="46"/>
      <c r="C4" s="37"/>
      <c r="D4" s="37"/>
      <c r="E4" s="37"/>
      <c r="F4" s="37"/>
      <c r="G4" s="38"/>
      <c r="H4" s="39"/>
    </row>
    <row r="5" spans="2:9" s="25" customFormat="1" ht="16.5" thickBot="1">
      <c r="B5" s="40">
        <v>1</v>
      </c>
      <c r="C5" s="27" t="s">
        <v>2148</v>
      </c>
      <c r="D5" s="29" t="s">
        <v>187</v>
      </c>
      <c r="E5" s="27" t="s">
        <v>865</v>
      </c>
      <c r="F5" s="27" t="s">
        <v>866</v>
      </c>
      <c r="G5" s="26"/>
      <c r="H5" s="87" t="s">
        <v>2151</v>
      </c>
    </row>
    <row r="6" spans="2:9" s="25" customFormat="1" ht="16.5" thickBot="1">
      <c r="B6" s="40">
        <f t="shared" ref="B6:B76" si="0">B5+1</f>
        <v>2</v>
      </c>
      <c r="C6" s="27" t="s">
        <v>2148</v>
      </c>
      <c r="D6" s="29" t="s">
        <v>187</v>
      </c>
      <c r="E6" s="27" t="s">
        <v>865</v>
      </c>
      <c r="F6" s="27" t="s">
        <v>1728</v>
      </c>
      <c r="G6" s="26"/>
      <c r="H6" s="88" t="s">
        <v>2149</v>
      </c>
      <c r="I6" s="50" t="s">
        <v>2150</v>
      </c>
    </row>
    <row r="7" spans="2:9" s="25" customFormat="1" ht="16.5" thickBot="1">
      <c r="B7" s="40">
        <f t="shared" si="0"/>
        <v>3</v>
      </c>
      <c r="C7" s="27" t="s">
        <v>2148</v>
      </c>
      <c r="D7" s="29" t="s">
        <v>187</v>
      </c>
      <c r="E7" s="27" t="s">
        <v>865</v>
      </c>
      <c r="F7" s="27" t="s">
        <v>1333</v>
      </c>
      <c r="G7" s="27" t="s">
        <v>870</v>
      </c>
      <c r="H7" s="89" t="s">
        <v>2152</v>
      </c>
    </row>
    <row r="8" spans="2:9" s="25" customFormat="1" ht="16.5" thickBot="1">
      <c r="B8" s="40">
        <f t="shared" si="0"/>
        <v>4</v>
      </c>
      <c r="C8" s="27" t="s">
        <v>2148</v>
      </c>
      <c r="D8" s="29" t="s">
        <v>187</v>
      </c>
      <c r="E8" s="27" t="s">
        <v>865</v>
      </c>
      <c r="F8" s="27" t="s">
        <v>1333</v>
      </c>
      <c r="G8" s="27" t="s">
        <v>874</v>
      </c>
      <c r="H8" s="89" t="s">
        <v>2153</v>
      </c>
    </row>
    <row r="9" spans="2:9" s="25" customFormat="1" ht="16.5" thickBot="1">
      <c r="B9" s="40">
        <f t="shared" si="0"/>
        <v>5</v>
      </c>
      <c r="C9" s="27" t="s">
        <v>2148</v>
      </c>
      <c r="D9" s="71" t="s">
        <v>187</v>
      </c>
      <c r="E9" s="27" t="s">
        <v>865</v>
      </c>
      <c r="F9" s="27"/>
      <c r="G9" s="49" t="s">
        <v>2155</v>
      </c>
      <c r="H9" s="90" t="s">
        <v>2154</v>
      </c>
    </row>
    <row r="10" spans="2:9" s="25" customFormat="1" ht="16.5" thickBot="1">
      <c r="B10" s="40">
        <f t="shared" si="0"/>
        <v>6</v>
      </c>
      <c r="C10" s="27" t="s">
        <v>2148</v>
      </c>
      <c r="D10" s="71" t="s">
        <v>187</v>
      </c>
      <c r="E10" s="27" t="s">
        <v>865</v>
      </c>
      <c r="F10" s="27"/>
      <c r="G10" s="49" t="s">
        <v>2157</v>
      </c>
      <c r="H10" s="95" t="s">
        <v>2156</v>
      </c>
    </row>
    <row r="11" spans="2:9" s="25" customFormat="1" ht="32.25" thickBot="1">
      <c r="B11" s="40">
        <f t="shared" si="0"/>
        <v>7</v>
      </c>
      <c r="C11" s="27" t="s">
        <v>2148</v>
      </c>
      <c r="D11" s="71" t="s">
        <v>187</v>
      </c>
      <c r="E11" s="27" t="s">
        <v>865</v>
      </c>
      <c r="F11" s="27"/>
      <c r="G11" s="49" t="s">
        <v>2159</v>
      </c>
      <c r="H11" s="95" t="s">
        <v>2158</v>
      </c>
    </row>
    <row r="12" spans="2:9" s="25" customFormat="1" ht="16.5" thickBot="1">
      <c r="B12" s="40">
        <f t="shared" si="0"/>
        <v>8</v>
      </c>
      <c r="C12" s="27" t="s">
        <v>2148</v>
      </c>
      <c r="D12" s="71" t="s">
        <v>187</v>
      </c>
      <c r="E12" s="27" t="s">
        <v>865</v>
      </c>
      <c r="F12" s="27"/>
      <c r="G12" s="49" t="s">
        <v>2160</v>
      </c>
      <c r="H12" s="95" t="s">
        <v>3814</v>
      </c>
    </row>
    <row r="13" spans="2:9" s="25" customFormat="1" ht="16.5" thickBot="1">
      <c r="B13" s="40">
        <f t="shared" si="0"/>
        <v>9</v>
      </c>
      <c r="C13" s="27" t="s">
        <v>2148</v>
      </c>
      <c r="D13" s="71" t="s">
        <v>187</v>
      </c>
      <c r="E13" s="27" t="s">
        <v>865</v>
      </c>
      <c r="F13" s="27"/>
      <c r="G13" s="49" t="s">
        <v>2161</v>
      </c>
      <c r="H13" s="95" t="s">
        <v>3814</v>
      </c>
    </row>
    <row r="14" spans="2:9" s="25" customFormat="1" ht="32.25" thickBot="1">
      <c r="B14" s="40">
        <f t="shared" si="0"/>
        <v>10</v>
      </c>
      <c r="C14" s="27" t="s">
        <v>2148</v>
      </c>
      <c r="D14" s="71" t="s">
        <v>187</v>
      </c>
      <c r="E14" s="27" t="s">
        <v>865</v>
      </c>
      <c r="F14" s="27"/>
      <c r="G14" s="49" t="s">
        <v>2162</v>
      </c>
      <c r="H14" s="95" t="s">
        <v>2163</v>
      </c>
    </row>
    <row r="15" spans="2:9" s="25" customFormat="1" ht="9" customHeight="1" thickBot="1">
      <c r="B15" s="53">
        <f t="shared" si="0"/>
        <v>11</v>
      </c>
      <c r="C15" s="54"/>
      <c r="D15" s="54"/>
      <c r="E15" s="54"/>
      <c r="F15" s="54"/>
      <c r="G15" s="54"/>
      <c r="H15" s="91"/>
    </row>
    <row r="16" spans="2:9" s="25" customFormat="1" ht="16.5" thickBot="1">
      <c r="B16" s="59">
        <f t="shared" si="0"/>
        <v>12</v>
      </c>
      <c r="C16" s="27" t="s">
        <v>2148</v>
      </c>
      <c r="D16" s="61" t="s">
        <v>219</v>
      </c>
      <c r="E16" s="27" t="s">
        <v>865</v>
      </c>
      <c r="F16" s="27" t="s">
        <v>866</v>
      </c>
      <c r="G16" s="62"/>
      <c r="H16" s="87" t="s">
        <v>2165</v>
      </c>
    </row>
    <row r="17" spans="2:9" s="25" customFormat="1" ht="16.5" thickBot="1">
      <c r="B17" s="40">
        <f t="shared" si="0"/>
        <v>13</v>
      </c>
      <c r="C17" s="27" t="s">
        <v>2148</v>
      </c>
      <c r="D17" s="29" t="s">
        <v>219</v>
      </c>
      <c r="E17" s="27" t="s">
        <v>865</v>
      </c>
      <c r="F17" s="27" t="s">
        <v>1728</v>
      </c>
      <c r="G17" s="26"/>
      <c r="H17" s="88" t="s">
        <v>3815</v>
      </c>
      <c r="I17" s="50" t="s">
        <v>2164</v>
      </c>
    </row>
    <row r="18" spans="2:9" s="25" customFormat="1" ht="16.5" thickBot="1">
      <c r="B18" s="40">
        <f t="shared" si="0"/>
        <v>14</v>
      </c>
      <c r="C18" s="27" t="s">
        <v>2148</v>
      </c>
      <c r="D18" s="29" t="s">
        <v>219</v>
      </c>
      <c r="E18" s="27" t="s">
        <v>865</v>
      </c>
      <c r="F18" s="27" t="s">
        <v>1333</v>
      </c>
      <c r="G18" s="27" t="s">
        <v>992</v>
      </c>
      <c r="H18" s="88" t="s">
        <v>2166</v>
      </c>
    </row>
    <row r="19" spans="2:9" s="25" customFormat="1" ht="16.5" thickBot="1">
      <c r="B19" s="40">
        <f t="shared" si="0"/>
        <v>15</v>
      </c>
      <c r="C19" s="27" t="s">
        <v>2148</v>
      </c>
      <c r="D19" s="29" t="s">
        <v>219</v>
      </c>
      <c r="E19" s="27" t="s">
        <v>865</v>
      </c>
      <c r="F19" s="27" t="s">
        <v>1333</v>
      </c>
      <c r="G19" s="27" t="s">
        <v>923</v>
      </c>
      <c r="H19" s="88" t="s">
        <v>2167</v>
      </c>
    </row>
    <row r="20" spans="2:9" s="25" customFormat="1" ht="16.5" thickBot="1">
      <c r="B20" s="40">
        <f t="shared" si="0"/>
        <v>16</v>
      </c>
      <c r="C20" s="27" t="s">
        <v>2148</v>
      </c>
      <c r="D20" s="29" t="s">
        <v>219</v>
      </c>
      <c r="E20" s="27" t="s">
        <v>865</v>
      </c>
      <c r="F20" s="27" t="s">
        <v>1333</v>
      </c>
      <c r="G20" s="27" t="s">
        <v>870</v>
      </c>
      <c r="H20" s="88" t="s">
        <v>2168</v>
      </c>
    </row>
    <row r="21" spans="2:9" s="25" customFormat="1" ht="16.5" thickBot="1">
      <c r="B21" s="40">
        <f t="shared" si="0"/>
        <v>17</v>
      </c>
      <c r="C21" s="27" t="s">
        <v>2148</v>
      </c>
      <c r="D21" s="71" t="s">
        <v>219</v>
      </c>
      <c r="E21" s="27" t="s">
        <v>865</v>
      </c>
      <c r="F21" s="27"/>
      <c r="G21" s="27" t="s">
        <v>2946</v>
      </c>
      <c r="H21" s="88" t="s">
        <v>2945</v>
      </c>
    </row>
    <row r="22" spans="2:9" s="25" customFormat="1" ht="16.5" thickBot="1">
      <c r="B22" s="40">
        <f t="shared" si="0"/>
        <v>18</v>
      </c>
      <c r="C22" s="27" t="s">
        <v>2148</v>
      </c>
      <c r="D22" s="71" t="s">
        <v>219</v>
      </c>
      <c r="E22" s="27" t="s">
        <v>865</v>
      </c>
      <c r="F22" s="27"/>
      <c r="G22" s="27" t="s">
        <v>2948</v>
      </c>
      <c r="H22" s="88" t="s">
        <v>2947</v>
      </c>
    </row>
    <row r="23" spans="2:9" s="25" customFormat="1" ht="16.5" thickBot="1">
      <c r="B23" s="40">
        <f t="shared" si="0"/>
        <v>19</v>
      </c>
      <c r="C23" s="27" t="s">
        <v>2148</v>
      </c>
      <c r="D23" s="71" t="s">
        <v>219</v>
      </c>
      <c r="E23" s="27" t="s">
        <v>865</v>
      </c>
      <c r="F23" s="27"/>
      <c r="G23" s="27" t="s">
        <v>2950</v>
      </c>
      <c r="H23" s="88" t="s">
        <v>2949</v>
      </c>
    </row>
    <row r="24" spans="2:9" s="25" customFormat="1" ht="16.5" thickBot="1">
      <c r="B24" s="40">
        <f t="shared" si="0"/>
        <v>20</v>
      </c>
      <c r="C24" s="27" t="s">
        <v>2148</v>
      </c>
      <c r="D24" s="71" t="s">
        <v>219</v>
      </c>
      <c r="E24" s="27" t="s">
        <v>865</v>
      </c>
      <c r="F24" s="27"/>
      <c r="G24" s="27" t="s">
        <v>2951</v>
      </c>
      <c r="H24" s="88" t="s">
        <v>3816</v>
      </c>
    </row>
    <row r="25" spans="2:9" s="25" customFormat="1" ht="16.5" thickBot="1">
      <c r="B25" s="40">
        <f t="shared" si="0"/>
        <v>21</v>
      </c>
      <c r="C25" s="27" t="s">
        <v>2148</v>
      </c>
      <c r="D25" s="71" t="s">
        <v>219</v>
      </c>
      <c r="E25" s="27" t="s">
        <v>865</v>
      </c>
      <c r="F25" s="27"/>
      <c r="G25" s="27" t="s">
        <v>2170</v>
      </c>
      <c r="H25" s="88" t="s">
        <v>2171</v>
      </c>
    </row>
    <row r="26" spans="2:9" s="25" customFormat="1" ht="16.5" thickBot="1">
      <c r="B26" s="40">
        <f t="shared" si="0"/>
        <v>22</v>
      </c>
      <c r="C26" s="27" t="s">
        <v>2148</v>
      </c>
      <c r="D26" s="71" t="s">
        <v>219</v>
      </c>
      <c r="E26" s="27" t="s">
        <v>865</v>
      </c>
      <c r="F26" s="27"/>
      <c r="G26" s="27" t="s">
        <v>2170</v>
      </c>
      <c r="H26" s="93" t="s">
        <v>2172</v>
      </c>
    </row>
    <row r="27" spans="2:9" s="25" customFormat="1" ht="16.5" thickBot="1">
      <c r="B27" s="40">
        <f t="shared" si="0"/>
        <v>23</v>
      </c>
      <c r="C27" s="27" t="s">
        <v>2148</v>
      </c>
      <c r="D27" s="71" t="s">
        <v>219</v>
      </c>
      <c r="E27" s="27" t="s">
        <v>865</v>
      </c>
      <c r="F27" s="27"/>
      <c r="G27" s="27" t="s">
        <v>2174</v>
      </c>
      <c r="H27" s="93" t="s">
        <v>2173</v>
      </c>
    </row>
    <row r="28" spans="2:9" s="25" customFormat="1" ht="16.5" thickBot="1">
      <c r="B28" s="40">
        <f t="shared" si="0"/>
        <v>24</v>
      </c>
      <c r="C28" s="27" t="s">
        <v>2148</v>
      </c>
      <c r="D28" s="71" t="s">
        <v>219</v>
      </c>
      <c r="E28" s="27" t="s">
        <v>865</v>
      </c>
      <c r="F28" s="27"/>
      <c r="G28" s="27" t="s">
        <v>2176</v>
      </c>
      <c r="H28" s="93" t="s">
        <v>2175</v>
      </c>
    </row>
    <row r="29" spans="2:9" s="25" customFormat="1" ht="9" customHeight="1" thickBot="1">
      <c r="B29" s="56">
        <f t="shared" si="0"/>
        <v>25</v>
      </c>
      <c r="C29" s="57"/>
      <c r="D29" s="57"/>
      <c r="E29" s="57"/>
      <c r="F29" s="57"/>
      <c r="G29" s="57"/>
      <c r="H29" s="94"/>
    </row>
    <row r="30" spans="2:9" s="25" customFormat="1" ht="9" customHeight="1" thickBot="1">
      <c r="B30" s="23">
        <f t="shared" si="0"/>
        <v>26</v>
      </c>
      <c r="C30" s="37"/>
      <c r="D30" s="37"/>
      <c r="E30" s="37"/>
      <c r="F30" s="37"/>
      <c r="G30" s="38"/>
      <c r="H30" s="94"/>
    </row>
    <row r="31" spans="2:9" s="25" customFormat="1" ht="16.5" thickBot="1">
      <c r="B31" s="40">
        <f t="shared" si="0"/>
        <v>27</v>
      </c>
      <c r="C31" s="27" t="s">
        <v>2148</v>
      </c>
      <c r="D31" s="29" t="s">
        <v>170</v>
      </c>
      <c r="E31" s="27" t="s">
        <v>865</v>
      </c>
      <c r="F31" s="27" t="s">
        <v>866</v>
      </c>
      <c r="G31" s="26"/>
      <c r="H31" s="88" t="s">
        <v>3817</v>
      </c>
    </row>
    <row r="32" spans="2:9" s="25" customFormat="1" ht="16.5" thickBot="1">
      <c r="B32" s="40">
        <f t="shared" si="0"/>
        <v>28</v>
      </c>
      <c r="C32" s="27" t="s">
        <v>2148</v>
      </c>
      <c r="D32" s="29" t="s">
        <v>170</v>
      </c>
      <c r="E32" s="27" t="s">
        <v>865</v>
      </c>
      <c r="F32" s="27" t="s">
        <v>1728</v>
      </c>
      <c r="G32" s="26"/>
      <c r="H32" s="88" t="s">
        <v>3818</v>
      </c>
      <c r="I32" s="50" t="s">
        <v>2177</v>
      </c>
    </row>
    <row r="33" spans="2:9" s="25" customFormat="1" ht="16.5" thickBot="1">
      <c r="B33" s="40">
        <f t="shared" si="0"/>
        <v>29</v>
      </c>
      <c r="C33" s="27" t="s">
        <v>2148</v>
      </c>
      <c r="D33" s="29" t="s">
        <v>170</v>
      </c>
      <c r="E33" s="27" t="s">
        <v>865</v>
      </c>
      <c r="F33" s="27" t="s">
        <v>1333</v>
      </c>
      <c r="G33" s="27" t="s">
        <v>2179</v>
      </c>
      <c r="H33" s="88" t="s">
        <v>2178</v>
      </c>
    </row>
    <row r="34" spans="2:9" s="25" customFormat="1" ht="16.5" thickBot="1">
      <c r="B34" s="40">
        <f t="shared" si="0"/>
        <v>30</v>
      </c>
      <c r="C34" s="27" t="s">
        <v>2148</v>
      </c>
      <c r="D34" s="29" t="s">
        <v>170</v>
      </c>
      <c r="E34" s="27" t="s">
        <v>865</v>
      </c>
      <c r="F34" s="27" t="s">
        <v>1333</v>
      </c>
      <c r="G34" s="27" t="s">
        <v>2181</v>
      </c>
      <c r="H34" s="88" t="s">
        <v>2180</v>
      </c>
    </row>
    <row r="35" spans="2:9" s="25" customFormat="1" ht="16.5" thickBot="1">
      <c r="B35" s="40">
        <f t="shared" si="0"/>
        <v>31</v>
      </c>
      <c r="C35" s="27" t="s">
        <v>2148</v>
      </c>
      <c r="D35" s="29" t="s">
        <v>170</v>
      </c>
      <c r="E35" s="27" t="s">
        <v>865</v>
      </c>
      <c r="F35" s="27" t="s">
        <v>1333</v>
      </c>
      <c r="G35" s="27" t="s">
        <v>1949</v>
      </c>
      <c r="H35" s="88" t="s">
        <v>2182</v>
      </c>
    </row>
    <row r="36" spans="2:9" s="25" customFormat="1" ht="16.5" thickBot="1">
      <c r="B36" s="40">
        <f t="shared" si="0"/>
        <v>32</v>
      </c>
      <c r="C36" s="27" t="s">
        <v>2148</v>
      </c>
      <c r="D36" s="29" t="s">
        <v>170</v>
      </c>
      <c r="E36" s="27" t="s">
        <v>865</v>
      </c>
      <c r="F36" s="27" t="s">
        <v>1333</v>
      </c>
      <c r="G36" s="27" t="s">
        <v>2184</v>
      </c>
      <c r="H36" s="88" t="s">
        <v>2183</v>
      </c>
    </row>
    <row r="37" spans="2:9" s="25" customFormat="1" ht="16.5" thickBot="1">
      <c r="B37" s="40">
        <f t="shared" si="0"/>
        <v>33</v>
      </c>
      <c r="C37" s="27" t="s">
        <v>2148</v>
      </c>
      <c r="D37" s="29" t="s">
        <v>170</v>
      </c>
      <c r="E37" s="27" t="s">
        <v>865</v>
      </c>
      <c r="F37" s="27" t="s">
        <v>1333</v>
      </c>
      <c r="G37" s="27" t="s">
        <v>2186</v>
      </c>
      <c r="H37" s="88" t="s">
        <v>2185</v>
      </c>
    </row>
    <row r="38" spans="2:9" s="25" customFormat="1" ht="16.5" thickBot="1">
      <c r="B38" s="40">
        <f t="shared" si="0"/>
        <v>34</v>
      </c>
      <c r="C38" s="27" t="s">
        <v>2148</v>
      </c>
      <c r="D38" s="29" t="s">
        <v>170</v>
      </c>
      <c r="E38" s="27" t="s">
        <v>865</v>
      </c>
      <c r="F38" s="49"/>
      <c r="G38" s="49" t="s">
        <v>2952</v>
      </c>
      <c r="H38" s="88" t="s">
        <v>3819</v>
      </c>
    </row>
    <row r="39" spans="2:9" s="25" customFormat="1" ht="16.5" thickBot="1">
      <c r="B39" s="40">
        <f t="shared" si="0"/>
        <v>35</v>
      </c>
      <c r="C39" s="27" t="s">
        <v>2148</v>
      </c>
      <c r="D39" s="29" t="s">
        <v>170</v>
      </c>
      <c r="E39" s="27" t="s">
        <v>865</v>
      </c>
      <c r="F39" s="49"/>
      <c r="G39" s="49" t="s">
        <v>2174</v>
      </c>
      <c r="H39" s="88" t="s">
        <v>2953</v>
      </c>
    </row>
    <row r="40" spans="2:9" s="25" customFormat="1" ht="16.5" thickBot="1">
      <c r="B40" s="40">
        <f t="shared" si="0"/>
        <v>36</v>
      </c>
      <c r="C40" s="27" t="s">
        <v>2148</v>
      </c>
      <c r="D40" s="29" t="s">
        <v>170</v>
      </c>
      <c r="E40" s="27" t="s">
        <v>865</v>
      </c>
      <c r="F40" s="49"/>
      <c r="G40" s="49" t="s">
        <v>2174</v>
      </c>
      <c r="H40" s="88" t="s">
        <v>3820</v>
      </c>
    </row>
    <row r="41" spans="2:9" s="25" customFormat="1" ht="16.5" thickBot="1">
      <c r="B41" s="40">
        <f t="shared" si="0"/>
        <v>37</v>
      </c>
      <c r="C41" s="27" t="s">
        <v>2148</v>
      </c>
      <c r="D41" s="29" t="s">
        <v>170</v>
      </c>
      <c r="E41" s="27" t="s">
        <v>865</v>
      </c>
      <c r="F41" s="49"/>
      <c r="G41" s="49" t="s">
        <v>2954</v>
      </c>
      <c r="H41" s="88" t="s">
        <v>2955</v>
      </c>
    </row>
    <row r="42" spans="2:9" s="25" customFormat="1" ht="16.5" thickBot="1">
      <c r="B42" s="40">
        <f t="shared" si="0"/>
        <v>38</v>
      </c>
      <c r="C42" s="27" t="s">
        <v>2148</v>
      </c>
      <c r="D42" s="29" t="s">
        <v>170</v>
      </c>
      <c r="E42" s="27" t="s">
        <v>865</v>
      </c>
      <c r="F42" s="49"/>
      <c r="G42" s="49" t="s">
        <v>2187</v>
      </c>
      <c r="H42" s="88" t="s">
        <v>2956</v>
      </c>
    </row>
    <row r="43" spans="2:9" s="25" customFormat="1" ht="9" customHeight="1" thickBot="1">
      <c r="B43" s="23">
        <f t="shared" si="0"/>
        <v>39</v>
      </c>
      <c r="C43" s="43"/>
      <c r="D43" s="43"/>
      <c r="E43" s="43"/>
      <c r="F43" s="43"/>
      <c r="G43" s="43"/>
      <c r="H43" s="94"/>
    </row>
    <row r="44" spans="2:9" s="25" customFormat="1" ht="9" customHeight="1" thickBot="1">
      <c r="B44" s="23">
        <f t="shared" si="0"/>
        <v>40</v>
      </c>
      <c r="C44" s="37"/>
      <c r="D44" s="37"/>
      <c r="E44" s="37"/>
      <c r="F44" s="37"/>
      <c r="G44" s="38"/>
      <c r="H44" s="94"/>
    </row>
    <row r="45" spans="2:9" s="25" customFormat="1" ht="16.5" thickBot="1">
      <c r="B45" s="40">
        <f t="shared" si="0"/>
        <v>41</v>
      </c>
      <c r="C45" s="27" t="s">
        <v>2148</v>
      </c>
      <c r="D45" s="52" t="s">
        <v>220</v>
      </c>
      <c r="E45" s="27" t="s">
        <v>865</v>
      </c>
      <c r="F45" s="27" t="s">
        <v>866</v>
      </c>
      <c r="G45" s="26"/>
      <c r="H45" s="88" t="s">
        <v>3821</v>
      </c>
    </row>
    <row r="46" spans="2:9" s="25" customFormat="1" ht="16.5" thickBot="1">
      <c r="B46" s="40">
        <f t="shared" si="0"/>
        <v>42</v>
      </c>
      <c r="C46" s="27" t="s">
        <v>2148</v>
      </c>
      <c r="D46" s="52" t="s">
        <v>220</v>
      </c>
      <c r="E46" s="27" t="s">
        <v>865</v>
      </c>
      <c r="F46" s="27" t="s">
        <v>1728</v>
      </c>
      <c r="G46" s="26"/>
      <c r="H46" s="89" t="s">
        <v>3822</v>
      </c>
      <c r="I46" s="50" t="s">
        <v>2188</v>
      </c>
    </row>
    <row r="47" spans="2:9" s="25" customFormat="1" ht="16.5" thickBot="1">
      <c r="B47" s="40">
        <f t="shared" si="0"/>
        <v>43</v>
      </c>
      <c r="C47" s="27" t="s">
        <v>2148</v>
      </c>
      <c r="D47" s="52" t="s">
        <v>220</v>
      </c>
      <c r="E47" s="27" t="s">
        <v>865</v>
      </c>
      <c r="F47" s="27" t="s">
        <v>1333</v>
      </c>
      <c r="G47" s="27"/>
      <c r="H47" s="89" t="s">
        <v>2189</v>
      </c>
    </row>
    <row r="48" spans="2:9" s="25" customFormat="1" ht="16.5" thickBot="1">
      <c r="B48" s="40">
        <f t="shared" si="0"/>
        <v>44</v>
      </c>
      <c r="C48" s="27" t="s">
        <v>2148</v>
      </c>
      <c r="D48" s="52" t="s">
        <v>220</v>
      </c>
      <c r="E48" s="27" t="s">
        <v>865</v>
      </c>
      <c r="F48" s="27" t="s">
        <v>1333</v>
      </c>
      <c r="G48" s="27"/>
      <c r="H48" s="89" t="s">
        <v>2190</v>
      </c>
    </row>
    <row r="49" spans="2:9" s="25" customFormat="1" ht="16.5" thickBot="1">
      <c r="B49" s="40">
        <f t="shared" si="0"/>
        <v>45</v>
      </c>
      <c r="C49" s="27" t="s">
        <v>2148</v>
      </c>
      <c r="D49" s="52" t="s">
        <v>220</v>
      </c>
      <c r="E49" s="27" t="s">
        <v>865</v>
      </c>
      <c r="F49" s="27"/>
      <c r="G49" s="27" t="s">
        <v>2958</v>
      </c>
      <c r="H49" s="89" t="s">
        <v>2957</v>
      </c>
    </row>
    <row r="50" spans="2:9" s="25" customFormat="1" ht="9" customHeight="1" thickBot="1">
      <c r="B50" s="23">
        <f t="shared" si="0"/>
        <v>46</v>
      </c>
      <c r="C50" s="43"/>
      <c r="D50" s="43"/>
      <c r="E50" s="43"/>
      <c r="F50" s="43"/>
      <c r="G50" s="43"/>
      <c r="H50" s="94"/>
    </row>
    <row r="51" spans="2:9" s="25" customFormat="1" ht="9" customHeight="1" thickBot="1">
      <c r="B51" s="23">
        <f t="shared" si="0"/>
        <v>47</v>
      </c>
      <c r="C51" s="37"/>
      <c r="D51" s="37"/>
      <c r="E51" s="37"/>
      <c r="F51" s="37"/>
      <c r="G51" s="38"/>
      <c r="H51" s="94"/>
    </row>
    <row r="52" spans="2:9" s="25" customFormat="1" ht="16.5" thickBot="1">
      <c r="B52" s="40">
        <f t="shared" si="0"/>
        <v>48</v>
      </c>
      <c r="C52" s="27" t="s">
        <v>2148</v>
      </c>
      <c r="D52" s="29" t="s">
        <v>221</v>
      </c>
      <c r="E52" s="27" t="s">
        <v>865</v>
      </c>
      <c r="F52" s="27" t="s">
        <v>866</v>
      </c>
      <c r="G52" s="26"/>
      <c r="H52" s="88" t="s">
        <v>2192</v>
      </c>
    </row>
    <row r="53" spans="2:9" s="25" customFormat="1" ht="16.5" thickBot="1">
      <c r="B53" s="40">
        <f t="shared" si="0"/>
        <v>49</v>
      </c>
      <c r="C53" s="27" t="s">
        <v>2148</v>
      </c>
      <c r="D53" s="29" t="s">
        <v>221</v>
      </c>
      <c r="E53" s="27" t="s">
        <v>865</v>
      </c>
      <c r="F53" s="27" t="s">
        <v>1728</v>
      </c>
      <c r="G53" s="26"/>
      <c r="H53" s="88" t="s">
        <v>3823</v>
      </c>
      <c r="I53" s="50" t="s">
        <v>2191</v>
      </c>
    </row>
    <row r="54" spans="2:9" s="25" customFormat="1" ht="16.5" thickBot="1">
      <c r="B54" s="40">
        <f t="shared" si="0"/>
        <v>50</v>
      </c>
      <c r="C54" s="27" t="s">
        <v>2148</v>
      </c>
      <c r="D54" s="29" t="s">
        <v>221</v>
      </c>
      <c r="E54" s="27" t="s">
        <v>865</v>
      </c>
      <c r="F54" s="27" t="s">
        <v>1333</v>
      </c>
      <c r="G54" s="27"/>
      <c r="H54" s="89" t="s">
        <v>2193</v>
      </c>
    </row>
    <row r="55" spans="2:9" s="25" customFormat="1" ht="16.5" thickBot="1">
      <c r="B55" s="40">
        <f t="shared" si="0"/>
        <v>51</v>
      </c>
      <c r="C55" s="27" t="s">
        <v>2148</v>
      </c>
      <c r="D55" s="29" t="s">
        <v>221</v>
      </c>
      <c r="E55" s="27" t="s">
        <v>865</v>
      </c>
      <c r="F55" s="27" t="s">
        <v>1333</v>
      </c>
      <c r="G55" s="27"/>
      <c r="H55" s="89" t="s">
        <v>2194</v>
      </c>
    </row>
    <row r="56" spans="2:9" s="25" customFormat="1" ht="16.5" thickBot="1">
      <c r="B56" s="40">
        <f t="shared" si="0"/>
        <v>52</v>
      </c>
      <c r="C56" s="27" t="s">
        <v>2148</v>
      </c>
      <c r="D56" s="29" t="s">
        <v>221</v>
      </c>
      <c r="E56" s="27" t="s">
        <v>865</v>
      </c>
      <c r="F56" s="27"/>
      <c r="G56" s="27" t="s">
        <v>2973</v>
      </c>
      <c r="H56" s="89" t="s">
        <v>2974</v>
      </c>
    </row>
    <row r="57" spans="2:9" s="25" customFormat="1" ht="16.5" thickBot="1">
      <c r="B57" s="40">
        <f t="shared" si="0"/>
        <v>53</v>
      </c>
      <c r="C57" s="27" t="s">
        <v>2148</v>
      </c>
      <c r="D57" s="29" t="s">
        <v>221</v>
      </c>
      <c r="E57" s="27" t="s">
        <v>865</v>
      </c>
      <c r="F57" s="27"/>
      <c r="G57" s="27" t="s">
        <v>2960</v>
      </c>
      <c r="H57" s="89" t="s">
        <v>2959</v>
      </c>
    </row>
    <row r="58" spans="2:9" s="25" customFormat="1" ht="16.5" thickBot="1">
      <c r="B58" s="40">
        <f t="shared" si="0"/>
        <v>54</v>
      </c>
      <c r="C58" s="27" t="s">
        <v>2148</v>
      </c>
      <c r="D58" s="29" t="s">
        <v>221</v>
      </c>
      <c r="E58" s="27" t="s">
        <v>865</v>
      </c>
      <c r="F58" s="27"/>
      <c r="G58" s="27" t="s">
        <v>2962</v>
      </c>
      <c r="H58" s="89" t="s">
        <v>2961</v>
      </c>
    </row>
    <row r="59" spans="2:9" s="25" customFormat="1" ht="16.5" thickBot="1">
      <c r="B59" s="40">
        <f t="shared" si="0"/>
        <v>55</v>
      </c>
      <c r="C59" s="27" t="s">
        <v>2148</v>
      </c>
      <c r="D59" s="29" t="s">
        <v>221</v>
      </c>
      <c r="E59" s="27" t="s">
        <v>865</v>
      </c>
      <c r="F59" s="27"/>
      <c r="G59" s="27" t="s">
        <v>2964</v>
      </c>
      <c r="H59" s="89" t="s">
        <v>2963</v>
      </c>
    </row>
    <row r="60" spans="2:9" s="25" customFormat="1" ht="16.5" thickBot="1">
      <c r="B60" s="40">
        <f t="shared" si="0"/>
        <v>56</v>
      </c>
      <c r="C60" s="27" t="s">
        <v>2148</v>
      </c>
      <c r="D60" s="29" t="s">
        <v>221</v>
      </c>
      <c r="E60" s="27" t="s">
        <v>865</v>
      </c>
      <c r="F60" s="27"/>
      <c r="G60" s="27" t="s">
        <v>2966</v>
      </c>
      <c r="H60" s="89" t="s">
        <v>2965</v>
      </c>
    </row>
    <row r="61" spans="2:9" s="25" customFormat="1" ht="16.5" thickBot="1">
      <c r="B61" s="40">
        <f t="shared" si="0"/>
        <v>57</v>
      </c>
      <c r="C61" s="27" t="s">
        <v>2148</v>
      </c>
      <c r="D61" s="29" t="s">
        <v>221</v>
      </c>
      <c r="E61" s="27" t="s">
        <v>865</v>
      </c>
      <c r="F61" s="27"/>
      <c r="G61" s="27" t="s">
        <v>2968</v>
      </c>
      <c r="H61" s="89" t="s">
        <v>2967</v>
      </c>
    </row>
    <row r="62" spans="2:9" s="25" customFormat="1" ht="32.25" thickBot="1">
      <c r="B62" s="40">
        <f t="shared" si="0"/>
        <v>58</v>
      </c>
      <c r="C62" s="27" t="s">
        <v>2148</v>
      </c>
      <c r="D62" s="29" t="s">
        <v>221</v>
      </c>
      <c r="E62" s="27" t="s">
        <v>865</v>
      </c>
      <c r="F62" s="27"/>
      <c r="G62" s="27" t="s">
        <v>2970</v>
      </c>
      <c r="H62" s="89" t="s">
        <v>2969</v>
      </c>
    </row>
    <row r="63" spans="2:9" s="25" customFormat="1" ht="16.5" thickBot="1">
      <c r="B63" s="40">
        <f t="shared" si="0"/>
        <v>59</v>
      </c>
      <c r="C63" s="27" t="s">
        <v>2148</v>
      </c>
      <c r="D63" s="29" t="s">
        <v>221</v>
      </c>
      <c r="E63" s="27" t="s">
        <v>865</v>
      </c>
      <c r="F63" s="27"/>
      <c r="G63" s="27" t="s">
        <v>2972</v>
      </c>
      <c r="H63" s="89" t="s">
        <v>2971</v>
      </c>
    </row>
    <row r="64" spans="2:9" s="25" customFormat="1" ht="9" customHeight="1" thickBot="1">
      <c r="B64" s="23">
        <f t="shared" si="0"/>
        <v>60</v>
      </c>
      <c r="C64" s="43"/>
      <c r="D64" s="43"/>
      <c r="E64" s="43"/>
      <c r="F64" s="43"/>
      <c r="G64" s="43"/>
      <c r="H64" s="94"/>
    </row>
    <row r="65" spans="2:9" s="25" customFormat="1" ht="9" customHeight="1" thickBot="1">
      <c r="B65" s="23">
        <f t="shared" si="0"/>
        <v>61</v>
      </c>
      <c r="C65" s="37"/>
      <c r="D65" s="37"/>
      <c r="E65" s="37"/>
      <c r="F65" s="37"/>
      <c r="G65" s="38"/>
      <c r="H65" s="94"/>
    </row>
    <row r="66" spans="2:9" s="25" customFormat="1" ht="16.5" thickBot="1">
      <c r="B66" s="40">
        <f t="shared" si="0"/>
        <v>62</v>
      </c>
      <c r="C66" s="27" t="s">
        <v>2148</v>
      </c>
      <c r="D66" s="29" t="s">
        <v>222</v>
      </c>
      <c r="E66" s="27" t="s">
        <v>865</v>
      </c>
      <c r="F66" s="27" t="s">
        <v>866</v>
      </c>
      <c r="G66" s="26"/>
      <c r="H66" s="88" t="s">
        <v>2198</v>
      </c>
    </row>
    <row r="67" spans="2:9" s="25" customFormat="1" ht="16.5" thickBot="1">
      <c r="B67" s="40">
        <f t="shared" si="0"/>
        <v>63</v>
      </c>
      <c r="C67" s="27" t="s">
        <v>2148</v>
      </c>
      <c r="D67" s="29" t="s">
        <v>222</v>
      </c>
      <c r="E67" s="27" t="s">
        <v>865</v>
      </c>
      <c r="F67" s="27" t="s">
        <v>1728</v>
      </c>
      <c r="G67" s="26"/>
      <c r="H67" s="88" t="s">
        <v>3824</v>
      </c>
      <c r="I67" s="50" t="s">
        <v>2195</v>
      </c>
    </row>
    <row r="68" spans="2:9" s="25" customFormat="1" ht="16.5" thickBot="1">
      <c r="B68" s="40">
        <f t="shared" si="0"/>
        <v>64</v>
      </c>
      <c r="C68" s="27" t="s">
        <v>2148</v>
      </c>
      <c r="D68" s="29" t="s">
        <v>222</v>
      </c>
      <c r="E68" s="27" t="s">
        <v>865</v>
      </c>
      <c r="F68" s="27" t="s">
        <v>1333</v>
      </c>
      <c r="G68" s="27"/>
      <c r="H68" s="89" t="s">
        <v>2196</v>
      </c>
    </row>
    <row r="69" spans="2:9" s="25" customFormat="1" ht="16.5" thickBot="1">
      <c r="B69" s="40">
        <f t="shared" si="0"/>
        <v>65</v>
      </c>
      <c r="C69" s="27" t="s">
        <v>2148</v>
      </c>
      <c r="D69" s="29" t="s">
        <v>222</v>
      </c>
      <c r="E69" s="27" t="s">
        <v>865</v>
      </c>
      <c r="F69" s="27" t="s">
        <v>1333</v>
      </c>
      <c r="G69" s="27"/>
      <c r="H69" s="89" t="s">
        <v>2196</v>
      </c>
    </row>
    <row r="70" spans="2:9" s="25" customFormat="1" ht="16.5" thickBot="1">
      <c r="B70" s="40">
        <f t="shared" si="0"/>
        <v>66</v>
      </c>
      <c r="C70" s="27" t="s">
        <v>2148</v>
      </c>
      <c r="D70" s="29" t="s">
        <v>222</v>
      </c>
      <c r="E70" s="27" t="s">
        <v>865</v>
      </c>
      <c r="F70" s="27" t="s">
        <v>1333</v>
      </c>
      <c r="G70" s="27"/>
      <c r="H70" s="89" t="s">
        <v>2197</v>
      </c>
    </row>
    <row r="71" spans="2:9" s="25" customFormat="1" ht="16.5" thickBot="1">
      <c r="B71" s="40">
        <f t="shared" si="0"/>
        <v>67</v>
      </c>
      <c r="C71" s="27" t="s">
        <v>2148</v>
      </c>
      <c r="D71" s="29" t="s">
        <v>222</v>
      </c>
      <c r="E71" s="27" t="s">
        <v>865</v>
      </c>
      <c r="F71" s="27"/>
      <c r="G71" s="27" t="s">
        <v>2975</v>
      </c>
      <c r="H71" s="89" t="s">
        <v>3825</v>
      </c>
    </row>
    <row r="72" spans="2:9" s="25" customFormat="1" ht="32.25" thickBot="1">
      <c r="B72" s="40">
        <f t="shared" si="0"/>
        <v>68</v>
      </c>
      <c r="C72" s="27" t="s">
        <v>2148</v>
      </c>
      <c r="D72" s="29" t="s">
        <v>222</v>
      </c>
      <c r="E72" s="27" t="s">
        <v>865</v>
      </c>
      <c r="F72" s="27"/>
      <c r="G72" s="27" t="s">
        <v>2977</v>
      </c>
      <c r="H72" s="89" t="s">
        <v>2976</v>
      </c>
    </row>
    <row r="73" spans="2:9" s="25" customFormat="1" ht="16.5" thickBot="1">
      <c r="B73" s="40">
        <f t="shared" si="0"/>
        <v>69</v>
      </c>
      <c r="C73" s="27" t="s">
        <v>2148</v>
      </c>
      <c r="D73" s="29" t="s">
        <v>222</v>
      </c>
      <c r="E73" s="27" t="s">
        <v>865</v>
      </c>
      <c r="F73" s="27"/>
      <c r="G73" s="27" t="s">
        <v>2979</v>
      </c>
      <c r="H73" s="89" t="s">
        <v>2978</v>
      </c>
    </row>
    <row r="74" spans="2:9" s="25" customFormat="1" ht="16.5" thickBot="1">
      <c r="B74" s="40">
        <f t="shared" si="0"/>
        <v>70</v>
      </c>
      <c r="C74" s="27" t="s">
        <v>2148</v>
      </c>
      <c r="D74" s="71" t="s">
        <v>222</v>
      </c>
      <c r="E74" s="27" t="s">
        <v>865</v>
      </c>
      <c r="F74" s="27"/>
      <c r="G74" s="79" t="s">
        <v>2980</v>
      </c>
      <c r="H74" s="89" t="s">
        <v>3826</v>
      </c>
    </row>
    <row r="75" spans="2:9" s="25" customFormat="1" ht="16.5" thickBot="1">
      <c r="B75" s="40">
        <f t="shared" si="0"/>
        <v>71</v>
      </c>
      <c r="C75" s="27" t="s">
        <v>2148</v>
      </c>
      <c r="D75" s="71" t="s">
        <v>222</v>
      </c>
      <c r="E75" s="27" t="s">
        <v>865</v>
      </c>
      <c r="F75" s="27"/>
      <c r="G75" s="27" t="s">
        <v>2981</v>
      </c>
      <c r="H75" s="100" t="s">
        <v>2982</v>
      </c>
    </row>
    <row r="76" spans="2:9" s="25" customFormat="1" ht="16.5" thickBot="1">
      <c r="B76" s="40">
        <f t="shared" si="0"/>
        <v>72</v>
      </c>
      <c r="C76" s="27" t="s">
        <v>2148</v>
      </c>
      <c r="D76" s="71" t="s">
        <v>222</v>
      </c>
      <c r="E76" s="27" t="s">
        <v>865</v>
      </c>
      <c r="F76" s="27"/>
      <c r="G76" s="27" t="s">
        <v>2983</v>
      </c>
      <c r="H76" s="98" t="s">
        <v>2984</v>
      </c>
    </row>
    <row r="77" spans="2:9" s="25" customFormat="1" ht="9" customHeight="1" thickBot="1">
      <c r="B77" s="23">
        <f t="shared" ref="B77:B138" si="1">B76+1</f>
        <v>73</v>
      </c>
      <c r="C77" s="43"/>
      <c r="D77" s="43"/>
      <c r="E77" s="43"/>
      <c r="F77" s="43"/>
      <c r="G77" s="43"/>
      <c r="H77" s="94"/>
    </row>
    <row r="78" spans="2:9" s="25" customFormat="1" ht="9" customHeight="1" thickBot="1">
      <c r="B78" s="23">
        <f t="shared" si="1"/>
        <v>74</v>
      </c>
      <c r="C78" s="37"/>
      <c r="D78" s="37"/>
      <c r="E78" s="37"/>
      <c r="F78" s="37"/>
      <c r="G78" s="38"/>
      <c r="H78" s="94"/>
    </row>
    <row r="79" spans="2:9" s="25" customFormat="1" ht="16.5" thickBot="1">
      <c r="B79" s="40">
        <f t="shared" si="1"/>
        <v>75</v>
      </c>
      <c r="C79" s="27" t="s">
        <v>2148</v>
      </c>
      <c r="D79" s="71" t="s">
        <v>223</v>
      </c>
      <c r="E79" s="27" t="s">
        <v>865</v>
      </c>
      <c r="F79" s="27" t="s">
        <v>866</v>
      </c>
      <c r="G79" s="26"/>
      <c r="H79" s="88" t="s">
        <v>2203</v>
      </c>
    </row>
    <row r="80" spans="2:9" s="25" customFormat="1" ht="16.5" thickBot="1">
      <c r="B80" s="40">
        <f t="shared" si="1"/>
        <v>76</v>
      </c>
      <c r="C80" s="27" t="s">
        <v>2148</v>
      </c>
      <c r="D80" s="71" t="s">
        <v>223</v>
      </c>
      <c r="E80" s="27" t="s">
        <v>865</v>
      </c>
      <c r="F80" s="27" t="s">
        <v>1728</v>
      </c>
      <c r="G80" s="26"/>
      <c r="H80" s="88" t="s">
        <v>3827</v>
      </c>
      <c r="I80" s="50" t="s">
        <v>2202</v>
      </c>
    </row>
    <row r="81" spans="2:9" s="25" customFormat="1" ht="16.5" thickBot="1">
      <c r="B81" s="40">
        <f t="shared" si="1"/>
        <v>77</v>
      </c>
      <c r="C81" s="27" t="s">
        <v>2148</v>
      </c>
      <c r="D81" s="71" t="s">
        <v>223</v>
      </c>
      <c r="E81" s="27" t="s">
        <v>865</v>
      </c>
      <c r="F81" s="27" t="s">
        <v>1333</v>
      </c>
      <c r="G81" s="27"/>
      <c r="H81" s="89" t="s">
        <v>2199</v>
      </c>
    </row>
    <row r="82" spans="2:9" s="25" customFormat="1" ht="16.5" thickBot="1">
      <c r="B82" s="40">
        <f t="shared" si="1"/>
        <v>78</v>
      </c>
      <c r="C82" s="27" t="s">
        <v>2148</v>
      </c>
      <c r="D82" s="71" t="s">
        <v>223</v>
      </c>
      <c r="E82" s="27" t="s">
        <v>865</v>
      </c>
      <c r="F82" s="27" t="s">
        <v>1333</v>
      </c>
      <c r="G82" s="27"/>
      <c r="H82" s="89" t="s">
        <v>2199</v>
      </c>
    </row>
    <row r="83" spans="2:9" s="25" customFormat="1" ht="16.5" thickBot="1">
      <c r="B83" s="40">
        <f t="shared" si="1"/>
        <v>79</v>
      </c>
      <c r="C83" s="27" t="s">
        <v>2148</v>
      </c>
      <c r="D83" s="71" t="s">
        <v>223</v>
      </c>
      <c r="E83" s="27" t="s">
        <v>865</v>
      </c>
      <c r="F83" s="27" t="s">
        <v>1333</v>
      </c>
      <c r="G83" s="27"/>
      <c r="H83" s="89" t="s">
        <v>2200</v>
      </c>
    </row>
    <row r="84" spans="2:9" s="25" customFormat="1" ht="16.5" thickBot="1">
      <c r="B84" s="40">
        <f t="shared" si="1"/>
        <v>80</v>
      </c>
      <c r="C84" s="27" t="s">
        <v>2148</v>
      </c>
      <c r="D84" s="71" t="s">
        <v>223</v>
      </c>
      <c r="E84" s="27" t="s">
        <v>865</v>
      </c>
      <c r="F84" s="27"/>
      <c r="G84" s="27" t="s">
        <v>2986</v>
      </c>
      <c r="H84" s="89" t="s">
        <v>2985</v>
      </c>
    </row>
    <row r="85" spans="2:9" s="25" customFormat="1" ht="16.5" thickBot="1">
      <c r="B85" s="40">
        <f t="shared" si="1"/>
        <v>81</v>
      </c>
      <c r="C85" s="27" t="s">
        <v>2148</v>
      </c>
      <c r="D85" s="71" t="s">
        <v>223</v>
      </c>
      <c r="E85" s="27" t="s">
        <v>865</v>
      </c>
      <c r="F85" s="27"/>
      <c r="G85" s="27" t="s">
        <v>2988</v>
      </c>
      <c r="H85" s="89" t="s">
        <v>2987</v>
      </c>
    </row>
    <row r="86" spans="2:9" s="25" customFormat="1" ht="9" customHeight="1" thickBot="1">
      <c r="B86" s="23">
        <f t="shared" si="1"/>
        <v>82</v>
      </c>
      <c r="C86" s="43"/>
      <c r="D86" s="43"/>
      <c r="E86" s="43"/>
      <c r="F86" s="43"/>
      <c r="G86" s="43"/>
      <c r="H86" s="94"/>
    </row>
    <row r="87" spans="2:9" s="25" customFormat="1" ht="9" customHeight="1" thickBot="1">
      <c r="B87" s="23">
        <f t="shared" si="1"/>
        <v>83</v>
      </c>
      <c r="C87" s="37"/>
      <c r="D87" s="37"/>
      <c r="E87" s="37"/>
      <c r="F87" s="37"/>
      <c r="G87" s="38"/>
      <c r="H87" s="94"/>
    </row>
    <row r="88" spans="2:9" s="25" customFormat="1" ht="16.5" thickBot="1">
      <c r="B88" s="40">
        <f t="shared" si="1"/>
        <v>84</v>
      </c>
      <c r="C88" s="27" t="s">
        <v>2148</v>
      </c>
      <c r="D88" s="71" t="s">
        <v>224</v>
      </c>
      <c r="E88" s="27" t="s">
        <v>865</v>
      </c>
      <c r="F88" s="27" t="s">
        <v>866</v>
      </c>
      <c r="G88" s="26"/>
      <c r="H88" s="88" t="s">
        <v>2204</v>
      </c>
    </row>
    <row r="89" spans="2:9" s="25" customFormat="1" ht="16.5" thickBot="1">
      <c r="B89" s="40">
        <f t="shared" si="1"/>
        <v>85</v>
      </c>
      <c r="C89" s="27" t="s">
        <v>2148</v>
      </c>
      <c r="D89" s="71" t="s">
        <v>224</v>
      </c>
      <c r="E89" s="27" t="s">
        <v>865</v>
      </c>
      <c r="F89" s="27" t="s">
        <v>1728</v>
      </c>
      <c r="G89" s="26"/>
      <c r="H89" s="88" t="s">
        <v>3828</v>
      </c>
      <c r="I89" s="50" t="s">
        <v>2201</v>
      </c>
    </row>
    <row r="90" spans="2:9" s="25" customFormat="1" ht="16.5" thickBot="1">
      <c r="B90" s="40">
        <f t="shared" si="1"/>
        <v>86</v>
      </c>
      <c r="C90" s="27" t="s">
        <v>2148</v>
      </c>
      <c r="D90" s="71" t="s">
        <v>224</v>
      </c>
      <c r="E90" s="27" t="s">
        <v>865</v>
      </c>
      <c r="F90" s="27" t="s">
        <v>1333</v>
      </c>
      <c r="G90" s="27"/>
      <c r="H90" s="89" t="s">
        <v>2205</v>
      </c>
    </row>
    <row r="91" spans="2:9" s="25" customFormat="1" ht="16.5" thickBot="1">
      <c r="B91" s="40">
        <f t="shared" si="1"/>
        <v>87</v>
      </c>
      <c r="C91" s="27" t="s">
        <v>2148</v>
      </c>
      <c r="D91" s="71" t="s">
        <v>224</v>
      </c>
      <c r="E91" s="27" t="s">
        <v>865</v>
      </c>
      <c r="F91" s="27" t="s">
        <v>1333</v>
      </c>
      <c r="G91" s="27"/>
      <c r="H91" s="89" t="s">
        <v>2206</v>
      </c>
    </row>
    <row r="92" spans="2:9" s="25" customFormat="1" ht="16.5" thickBot="1">
      <c r="B92" s="40">
        <f t="shared" si="1"/>
        <v>88</v>
      </c>
      <c r="C92" s="27" t="s">
        <v>2148</v>
      </c>
      <c r="D92" s="71" t="s">
        <v>224</v>
      </c>
      <c r="E92" s="27" t="s">
        <v>865</v>
      </c>
      <c r="F92" s="27"/>
      <c r="G92" s="27" t="s">
        <v>2990</v>
      </c>
      <c r="H92" s="89" t="s">
        <v>2989</v>
      </c>
    </row>
    <row r="93" spans="2:9" s="25" customFormat="1" ht="16.5" thickBot="1">
      <c r="B93" s="40">
        <f t="shared" si="1"/>
        <v>89</v>
      </c>
      <c r="C93" s="27" t="s">
        <v>2148</v>
      </c>
      <c r="D93" s="71" t="s">
        <v>224</v>
      </c>
      <c r="E93" s="49" t="s">
        <v>865</v>
      </c>
      <c r="F93" s="49"/>
      <c r="G93" s="49" t="s">
        <v>2174</v>
      </c>
      <c r="H93" s="90" t="s">
        <v>2991</v>
      </c>
    </row>
    <row r="94" spans="2:9" s="25" customFormat="1" ht="16.5" thickBot="1">
      <c r="B94" s="40">
        <f t="shared" si="1"/>
        <v>90</v>
      </c>
      <c r="C94" s="27" t="s">
        <v>2148</v>
      </c>
      <c r="D94" s="71" t="s">
        <v>224</v>
      </c>
      <c r="E94" s="49" t="s">
        <v>865</v>
      </c>
      <c r="F94" s="49"/>
      <c r="G94" s="49" t="s">
        <v>2993</v>
      </c>
      <c r="H94" s="95" t="s">
        <v>2992</v>
      </c>
    </row>
    <row r="95" spans="2:9" s="25" customFormat="1" ht="16.5" thickBot="1">
      <c r="B95" s="40">
        <f t="shared" si="1"/>
        <v>91</v>
      </c>
      <c r="C95" s="27" t="s">
        <v>2148</v>
      </c>
      <c r="D95" s="71" t="s">
        <v>224</v>
      </c>
      <c r="E95" s="49" t="s">
        <v>865</v>
      </c>
      <c r="F95" s="49"/>
      <c r="G95" s="49" t="s">
        <v>2995</v>
      </c>
      <c r="H95" s="95" t="s">
        <v>2994</v>
      </c>
    </row>
    <row r="96" spans="2:9" s="25" customFormat="1" ht="9" customHeight="1" thickBot="1">
      <c r="B96" s="23">
        <f t="shared" si="1"/>
        <v>92</v>
      </c>
      <c r="C96" s="43"/>
      <c r="D96" s="43"/>
      <c r="E96" s="43"/>
      <c r="F96" s="43"/>
      <c r="G96" s="43"/>
      <c r="H96" s="96"/>
    </row>
    <row r="97" spans="2:9" s="25" customFormat="1" ht="9" customHeight="1" thickBot="1">
      <c r="B97" s="23">
        <f t="shared" si="1"/>
        <v>93</v>
      </c>
      <c r="C97" s="37"/>
      <c r="D97" s="37"/>
      <c r="E97" s="37"/>
      <c r="F97" s="37"/>
      <c r="G97" s="38"/>
      <c r="H97" s="94"/>
    </row>
    <row r="98" spans="2:9" s="25" customFormat="1" ht="32.25" thickBot="1">
      <c r="B98" s="40">
        <f t="shared" si="1"/>
        <v>94</v>
      </c>
      <c r="C98" s="27" t="s">
        <v>2148</v>
      </c>
      <c r="D98" s="71" t="s">
        <v>225</v>
      </c>
      <c r="E98" s="27" t="s">
        <v>865</v>
      </c>
      <c r="F98" s="27" t="s">
        <v>866</v>
      </c>
      <c r="G98" s="26"/>
      <c r="H98" s="89" t="s">
        <v>3829</v>
      </c>
    </row>
    <row r="99" spans="2:9" s="25" customFormat="1" ht="16.5" thickBot="1">
      <c r="B99" s="40">
        <f t="shared" si="1"/>
        <v>95</v>
      </c>
      <c r="C99" s="27" t="s">
        <v>2148</v>
      </c>
      <c r="D99" s="71" t="s">
        <v>225</v>
      </c>
      <c r="E99" s="27" t="s">
        <v>865</v>
      </c>
      <c r="F99" s="27" t="s">
        <v>1728</v>
      </c>
      <c r="G99" s="26"/>
      <c r="H99" s="88" t="s">
        <v>3830</v>
      </c>
      <c r="I99" s="50" t="s">
        <v>2201</v>
      </c>
    </row>
    <row r="100" spans="2:9" s="25" customFormat="1" ht="16.5" thickBot="1">
      <c r="B100" s="40">
        <f t="shared" si="1"/>
        <v>96</v>
      </c>
      <c r="C100" s="27" t="s">
        <v>2148</v>
      </c>
      <c r="D100" s="71" t="s">
        <v>225</v>
      </c>
      <c r="E100" s="27" t="s">
        <v>865</v>
      </c>
      <c r="F100" s="27" t="s">
        <v>1333</v>
      </c>
      <c r="G100" s="27"/>
      <c r="H100" s="89" t="s">
        <v>2207</v>
      </c>
    </row>
    <row r="101" spans="2:9" s="25" customFormat="1" ht="16.5" thickBot="1">
      <c r="B101" s="40">
        <f t="shared" si="1"/>
        <v>97</v>
      </c>
      <c r="C101" s="27" t="s">
        <v>2148</v>
      </c>
      <c r="D101" s="71" t="s">
        <v>225</v>
      </c>
      <c r="E101" s="27" t="s">
        <v>865</v>
      </c>
      <c r="F101" s="27" t="s">
        <v>1333</v>
      </c>
      <c r="G101" s="27"/>
      <c r="H101" s="89" t="s">
        <v>2208</v>
      </c>
    </row>
    <row r="102" spans="2:9" s="25" customFormat="1" ht="16.5" thickBot="1">
      <c r="B102" s="40">
        <f t="shared" si="1"/>
        <v>98</v>
      </c>
      <c r="C102" s="27" t="s">
        <v>2148</v>
      </c>
      <c r="D102" s="71" t="s">
        <v>225</v>
      </c>
      <c r="E102" s="27" t="s">
        <v>865</v>
      </c>
      <c r="F102" s="27" t="s">
        <v>1333</v>
      </c>
      <c r="G102" s="27"/>
      <c r="H102" s="89" t="s">
        <v>2209</v>
      </c>
    </row>
    <row r="103" spans="2:9" s="25" customFormat="1" ht="16.5" thickBot="1">
      <c r="B103" s="40">
        <f t="shared" si="1"/>
        <v>99</v>
      </c>
      <c r="C103" s="27" t="s">
        <v>2148</v>
      </c>
      <c r="D103" s="71" t="s">
        <v>225</v>
      </c>
      <c r="E103" s="27" t="s">
        <v>865</v>
      </c>
      <c r="F103" s="27"/>
      <c r="G103" s="27" t="s">
        <v>2997</v>
      </c>
      <c r="H103" s="89" t="s">
        <v>2996</v>
      </c>
    </row>
    <row r="104" spans="2:9" s="25" customFormat="1" ht="16.5" thickBot="1">
      <c r="B104" s="40">
        <f t="shared" si="1"/>
        <v>100</v>
      </c>
      <c r="C104" s="27" t="s">
        <v>2148</v>
      </c>
      <c r="D104" s="71" t="s">
        <v>225</v>
      </c>
      <c r="E104" s="49" t="s">
        <v>865</v>
      </c>
      <c r="F104" s="49"/>
      <c r="G104" s="49" t="s">
        <v>2999</v>
      </c>
      <c r="H104" s="90" t="s">
        <v>2998</v>
      </c>
    </row>
    <row r="105" spans="2:9" s="25" customFormat="1" ht="16.5" thickBot="1">
      <c r="B105" s="40">
        <f t="shared" si="1"/>
        <v>101</v>
      </c>
      <c r="C105" s="27" t="s">
        <v>2148</v>
      </c>
      <c r="D105" s="71" t="s">
        <v>225</v>
      </c>
      <c r="E105" s="49" t="s">
        <v>865</v>
      </c>
      <c r="F105" s="49"/>
      <c r="G105" s="49" t="s">
        <v>3001</v>
      </c>
      <c r="H105" s="95" t="s">
        <v>3000</v>
      </c>
    </row>
    <row r="106" spans="2:9" s="25" customFormat="1" ht="16.5" thickBot="1">
      <c r="B106" s="40">
        <f t="shared" si="1"/>
        <v>102</v>
      </c>
      <c r="C106" s="27" t="s">
        <v>2148</v>
      </c>
      <c r="D106" s="71" t="s">
        <v>225</v>
      </c>
      <c r="E106" s="49" t="s">
        <v>880</v>
      </c>
      <c r="F106" s="49" t="s">
        <v>1780</v>
      </c>
      <c r="G106" s="49" t="s">
        <v>3002</v>
      </c>
      <c r="H106" s="108" t="s">
        <v>3831</v>
      </c>
    </row>
    <row r="107" spans="2:9" s="25" customFormat="1" ht="16.5" thickBot="1">
      <c r="B107" s="40">
        <f t="shared" si="1"/>
        <v>103</v>
      </c>
      <c r="C107" s="27" t="s">
        <v>2148</v>
      </c>
      <c r="D107" s="71" t="s">
        <v>225</v>
      </c>
      <c r="E107" s="49" t="s">
        <v>865</v>
      </c>
      <c r="F107" s="49"/>
      <c r="G107" s="49" t="s">
        <v>3005</v>
      </c>
      <c r="H107" s="95" t="s">
        <v>3004</v>
      </c>
    </row>
    <row r="108" spans="2:9" s="25" customFormat="1" ht="9" customHeight="1" thickBot="1">
      <c r="B108" s="23">
        <f t="shared" si="1"/>
        <v>104</v>
      </c>
      <c r="C108" s="43"/>
      <c r="D108" s="43"/>
      <c r="E108" s="43"/>
      <c r="F108" s="43"/>
      <c r="G108" s="43"/>
      <c r="H108" s="96"/>
    </row>
    <row r="109" spans="2:9" s="25" customFormat="1" ht="9" customHeight="1" thickBot="1">
      <c r="B109" s="23">
        <f t="shared" si="1"/>
        <v>105</v>
      </c>
      <c r="C109" s="37"/>
      <c r="D109" s="37"/>
      <c r="E109" s="37"/>
      <c r="F109" s="37"/>
      <c r="G109" s="38"/>
      <c r="H109" s="94"/>
    </row>
    <row r="110" spans="2:9" s="25" customFormat="1" ht="16.5" thickBot="1">
      <c r="B110" s="40">
        <f t="shared" si="1"/>
        <v>106</v>
      </c>
      <c r="C110" s="27" t="s">
        <v>2148</v>
      </c>
      <c r="D110" s="71" t="s">
        <v>226</v>
      </c>
      <c r="E110" s="27" t="s">
        <v>865</v>
      </c>
      <c r="F110" s="27" t="s">
        <v>866</v>
      </c>
      <c r="G110" s="26"/>
      <c r="H110" s="88" t="s">
        <v>2211</v>
      </c>
    </row>
    <row r="111" spans="2:9" s="25" customFormat="1" ht="16.5" thickBot="1">
      <c r="B111" s="40">
        <f t="shared" si="1"/>
        <v>107</v>
      </c>
      <c r="C111" s="27" t="s">
        <v>2148</v>
      </c>
      <c r="D111" s="71" t="s">
        <v>226</v>
      </c>
      <c r="E111" s="27" t="s">
        <v>865</v>
      </c>
      <c r="F111" s="27" t="s">
        <v>1728</v>
      </c>
      <c r="G111" s="26"/>
      <c r="H111" s="88" t="s">
        <v>3832</v>
      </c>
      <c r="I111" s="50" t="s">
        <v>2210</v>
      </c>
    </row>
    <row r="112" spans="2:9" s="25" customFormat="1" ht="16.5" thickBot="1">
      <c r="B112" s="40">
        <f t="shared" si="1"/>
        <v>108</v>
      </c>
      <c r="C112" s="27" t="s">
        <v>2148</v>
      </c>
      <c r="D112" s="71" t="s">
        <v>226</v>
      </c>
      <c r="E112" s="27" t="s">
        <v>865</v>
      </c>
      <c r="F112" s="27" t="s">
        <v>1333</v>
      </c>
      <c r="G112" s="27"/>
      <c r="H112" s="89" t="s">
        <v>2212</v>
      </c>
    </row>
    <row r="113" spans="2:8" s="25" customFormat="1" ht="16.5" thickBot="1">
      <c r="B113" s="40">
        <f t="shared" si="1"/>
        <v>109</v>
      </c>
      <c r="C113" s="27" t="s">
        <v>2148</v>
      </c>
      <c r="D113" s="71" t="s">
        <v>226</v>
      </c>
      <c r="E113" s="27" t="s">
        <v>865</v>
      </c>
      <c r="F113" s="27" t="s">
        <v>1333</v>
      </c>
      <c r="G113" s="27"/>
      <c r="H113" s="89" t="s">
        <v>2213</v>
      </c>
    </row>
    <row r="114" spans="2:8" s="25" customFormat="1" ht="16.5" thickBot="1">
      <c r="B114" s="40">
        <f t="shared" si="1"/>
        <v>110</v>
      </c>
      <c r="C114" s="27" t="s">
        <v>2148</v>
      </c>
      <c r="D114" s="71" t="s">
        <v>226</v>
      </c>
      <c r="E114" s="27" t="s">
        <v>865</v>
      </c>
      <c r="F114" s="27" t="s">
        <v>1333</v>
      </c>
      <c r="G114" s="27"/>
      <c r="H114" s="89" t="s">
        <v>2214</v>
      </c>
    </row>
    <row r="115" spans="2:8" s="25" customFormat="1" ht="16.5" thickBot="1">
      <c r="B115" s="40">
        <f t="shared" si="1"/>
        <v>111</v>
      </c>
      <c r="C115" s="27" t="s">
        <v>2148</v>
      </c>
      <c r="D115" s="71" t="s">
        <v>226</v>
      </c>
      <c r="E115" s="27" t="s">
        <v>865</v>
      </c>
      <c r="F115" s="27" t="s">
        <v>1333</v>
      </c>
      <c r="G115" s="27"/>
      <c r="H115" s="89" t="s">
        <v>2215</v>
      </c>
    </row>
    <row r="116" spans="2:8" s="25" customFormat="1" ht="16.5" thickBot="1">
      <c r="B116" s="40">
        <f t="shared" si="1"/>
        <v>112</v>
      </c>
      <c r="C116" s="27" t="s">
        <v>2148</v>
      </c>
      <c r="D116" s="71" t="s">
        <v>226</v>
      </c>
      <c r="E116" s="27" t="s">
        <v>865</v>
      </c>
      <c r="F116" s="27" t="s">
        <v>1333</v>
      </c>
      <c r="G116" s="27"/>
      <c r="H116" s="89" t="s">
        <v>2216</v>
      </c>
    </row>
    <row r="117" spans="2:8" s="25" customFormat="1" ht="16.5" thickBot="1">
      <c r="B117" s="40">
        <f t="shared" si="1"/>
        <v>113</v>
      </c>
      <c r="C117" s="27" t="s">
        <v>2148</v>
      </c>
      <c r="D117" s="71" t="s">
        <v>226</v>
      </c>
      <c r="E117" s="27" t="s">
        <v>865</v>
      </c>
      <c r="F117" s="27" t="s">
        <v>1333</v>
      </c>
      <c r="G117" s="27"/>
      <c r="H117" s="89" t="s">
        <v>2217</v>
      </c>
    </row>
    <row r="118" spans="2:8" s="25" customFormat="1" ht="16.5" thickBot="1">
      <c r="B118" s="40">
        <f t="shared" si="1"/>
        <v>114</v>
      </c>
      <c r="C118" s="27" t="s">
        <v>2148</v>
      </c>
      <c r="D118" s="82" t="s">
        <v>226</v>
      </c>
      <c r="E118" s="27" t="s">
        <v>865</v>
      </c>
      <c r="F118" s="27" t="s">
        <v>1333</v>
      </c>
      <c r="G118" s="27"/>
      <c r="H118" s="89" t="s">
        <v>2218</v>
      </c>
    </row>
    <row r="119" spans="2:8" s="25" customFormat="1" ht="16.5" thickBot="1">
      <c r="B119" s="40">
        <f t="shared" si="1"/>
        <v>115</v>
      </c>
      <c r="C119" s="27" t="s">
        <v>2148</v>
      </c>
      <c r="D119" s="82" t="s">
        <v>226</v>
      </c>
      <c r="E119" s="27" t="s">
        <v>865</v>
      </c>
      <c r="F119" s="27" t="s">
        <v>1333</v>
      </c>
      <c r="G119" s="27"/>
      <c r="H119" s="89" t="s">
        <v>2219</v>
      </c>
    </row>
    <row r="120" spans="2:8" s="25" customFormat="1" ht="16.5" thickBot="1">
      <c r="B120" s="40">
        <f t="shared" si="1"/>
        <v>116</v>
      </c>
      <c r="C120" s="27" t="s">
        <v>2148</v>
      </c>
      <c r="D120" s="82" t="s">
        <v>226</v>
      </c>
      <c r="E120" s="27" t="s">
        <v>865</v>
      </c>
      <c r="F120" s="27"/>
      <c r="G120" s="27" t="s">
        <v>3007</v>
      </c>
      <c r="H120" s="89" t="s">
        <v>3006</v>
      </c>
    </row>
    <row r="121" spans="2:8" s="25" customFormat="1" ht="16.5" thickBot="1">
      <c r="B121" s="40">
        <f t="shared" si="1"/>
        <v>117</v>
      </c>
      <c r="C121" s="27" t="s">
        <v>2148</v>
      </c>
      <c r="D121" s="82" t="s">
        <v>226</v>
      </c>
      <c r="E121" s="27" t="s">
        <v>865</v>
      </c>
      <c r="F121" s="27"/>
      <c r="G121" s="27" t="s">
        <v>3009</v>
      </c>
      <c r="H121" s="89" t="s">
        <v>3008</v>
      </c>
    </row>
    <row r="122" spans="2:8" s="25" customFormat="1" ht="16.5" thickBot="1">
      <c r="B122" s="40">
        <f t="shared" si="1"/>
        <v>118</v>
      </c>
      <c r="C122" s="27" t="s">
        <v>2148</v>
      </c>
      <c r="D122" s="82" t="s">
        <v>226</v>
      </c>
      <c r="E122" s="27" t="s">
        <v>865</v>
      </c>
      <c r="F122" s="27"/>
      <c r="G122" s="27" t="s">
        <v>3011</v>
      </c>
      <c r="H122" s="89" t="s">
        <v>3010</v>
      </c>
    </row>
    <row r="123" spans="2:8" s="25" customFormat="1" ht="16.5" thickBot="1">
      <c r="B123" s="40">
        <f t="shared" si="1"/>
        <v>119</v>
      </c>
      <c r="C123" s="27" t="s">
        <v>2148</v>
      </c>
      <c r="D123" s="82" t="s">
        <v>226</v>
      </c>
      <c r="E123" s="27" t="s">
        <v>865</v>
      </c>
      <c r="F123" s="27"/>
      <c r="G123" s="27" t="s">
        <v>3013</v>
      </c>
      <c r="H123" s="89" t="s">
        <v>3012</v>
      </c>
    </row>
    <row r="124" spans="2:8" s="25" customFormat="1" ht="16.5" thickBot="1">
      <c r="B124" s="40">
        <f t="shared" si="1"/>
        <v>120</v>
      </c>
      <c r="C124" s="27" t="s">
        <v>2148</v>
      </c>
      <c r="D124" s="82" t="s">
        <v>226</v>
      </c>
      <c r="E124" s="27" t="s">
        <v>865</v>
      </c>
      <c r="F124" s="27"/>
      <c r="G124" s="27" t="s">
        <v>3015</v>
      </c>
      <c r="H124" s="89" t="s">
        <v>3014</v>
      </c>
    </row>
    <row r="125" spans="2:8" s="25" customFormat="1" ht="32.25" thickBot="1">
      <c r="B125" s="40">
        <f t="shared" si="1"/>
        <v>121</v>
      </c>
      <c r="C125" s="27" t="s">
        <v>2148</v>
      </c>
      <c r="D125" s="82" t="s">
        <v>226</v>
      </c>
      <c r="E125" s="27" t="s">
        <v>865</v>
      </c>
      <c r="F125" s="27"/>
      <c r="G125" s="27" t="s">
        <v>3017</v>
      </c>
      <c r="H125" s="89" t="s">
        <v>3016</v>
      </c>
    </row>
    <row r="126" spans="2:8" s="25" customFormat="1" ht="16.5" thickBot="1">
      <c r="B126" s="40">
        <f t="shared" si="1"/>
        <v>122</v>
      </c>
      <c r="C126" s="27" t="s">
        <v>2148</v>
      </c>
      <c r="D126" s="82" t="s">
        <v>226</v>
      </c>
      <c r="E126" s="27" t="s">
        <v>865</v>
      </c>
      <c r="F126" s="27"/>
      <c r="G126" s="27" t="s">
        <v>3018</v>
      </c>
      <c r="H126" s="89" t="s">
        <v>3833</v>
      </c>
    </row>
    <row r="127" spans="2:8" s="25" customFormat="1" ht="16.5" thickBot="1">
      <c r="B127" s="40">
        <f t="shared" si="1"/>
        <v>123</v>
      </c>
      <c r="C127" s="27" t="s">
        <v>2148</v>
      </c>
      <c r="D127" s="82" t="s">
        <v>226</v>
      </c>
      <c r="E127" s="27" t="s">
        <v>865</v>
      </c>
      <c r="F127" s="27"/>
      <c r="G127" s="27" t="s">
        <v>3020</v>
      </c>
      <c r="H127" s="89" t="s">
        <v>3019</v>
      </c>
    </row>
    <row r="128" spans="2:8" s="25" customFormat="1" ht="16.5" thickBot="1">
      <c r="B128" s="40">
        <f t="shared" si="1"/>
        <v>124</v>
      </c>
      <c r="C128" s="27" t="s">
        <v>2148</v>
      </c>
      <c r="D128" s="82" t="s">
        <v>226</v>
      </c>
      <c r="E128" s="27" t="s">
        <v>865</v>
      </c>
      <c r="F128" s="27"/>
      <c r="G128" s="27" t="s">
        <v>3022</v>
      </c>
      <c r="H128" s="89" t="s">
        <v>3021</v>
      </c>
    </row>
    <row r="129" spans="2:9" s="25" customFormat="1" ht="16.5" thickBot="1">
      <c r="B129" s="40">
        <f t="shared" si="1"/>
        <v>125</v>
      </c>
      <c r="C129" s="27" t="s">
        <v>2148</v>
      </c>
      <c r="D129" s="82" t="s">
        <v>226</v>
      </c>
      <c r="E129" s="27" t="s">
        <v>865</v>
      </c>
      <c r="F129" s="27"/>
      <c r="G129" s="27" t="s">
        <v>3023</v>
      </c>
      <c r="H129" s="89" t="s">
        <v>3024</v>
      </c>
    </row>
    <row r="130" spans="2:9" s="25" customFormat="1" ht="16.5" thickBot="1">
      <c r="B130" s="40">
        <f t="shared" si="1"/>
        <v>126</v>
      </c>
      <c r="C130" s="27" t="s">
        <v>2148</v>
      </c>
      <c r="D130" s="82" t="s">
        <v>226</v>
      </c>
      <c r="E130" s="27" t="s">
        <v>865</v>
      </c>
      <c r="F130" s="27"/>
      <c r="G130" s="27" t="s">
        <v>2999</v>
      </c>
      <c r="H130" s="89" t="s">
        <v>3025</v>
      </c>
    </row>
    <row r="131" spans="2:9" s="25" customFormat="1" ht="9" customHeight="1" thickBot="1">
      <c r="B131" s="23">
        <f t="shared" si="1"/>
        <v>127</v>
      </c>
      <c r="C131" s="43"/>
      <c r="D131" s="43"/>
      <c r="E131" s="43"/>
      <c r="F131" s="43"/>
      <c r="G131" s="43"/>
      <c r="H131" s="94"/>
    </row>
    <row r="132" spans="2:9" s="25" customFormat="1" ht="9" customHeight="1" thickBot="1">
      <c r="B132" s="23">
        <f t="shared" si="1"/>
        <v>128</v>
      </c>
      <c r="C132" s="37"/>
      <c r="D132" s="37"/>
      <c r="E132" s="37"/>
      <c r="F132" s="37"/>
      <c r="G132" s="38"/>
      <c r="H132" s="94"/>
    </row>
    <row r="133" spans="2:9" s="25" customFormat="1" ht="16.5" thickBot="1">
      <c r="B133" s="40">
        <f t="shared" si="1"/>
        <v>129</v>
      </c>
      <c r="C133" s="27" t="s">
        <v>2148</v>
      </c>
      <c r="D133" s="71" t="s">
        <v>227</v>
      </c>
      <c r="E133" s="27" t="s">
        <v>865</v>
      </c>
      <c r="F133" s="27" t="s">
        <v>866</v>
      </c>
      <c r="G133" s="26"/>
      <c r="H133" s="88" t="s">
        <v>2221</v>
      </c>
    </row>
    <row r="134" spans="2:9" s="25" customFormat="1" ht="16.5" thickBot="1">
      <c r="B134" s="40">
        <f t="shared" si="1"/>
        <v>130</v>
      </c>
      <c r="C134" s="27" t="s">
        <v>2148</v>
      </c>
      <c r="D134" s="71" t="s">
        <v>227</v>
      </c>
      <c r="E134" s="27" t="s">
        <v>865</v>
      </c>
      <c r="F134" s="27" t="s">
        <v>1728</v>
      </c>
      <c r="G134" s="26"/>
      <c r="H134" s="88" t="s">
        <v>3834</v>
      </c>
      <c r="I134" s="50" t="s">
        <v>2220</v>
      </c>
    </row>
    <row r="135" spans="2:9" s="25" customFormat="1" ht="16.5" thickBot="1">
      <c r="B135" s="40">
        <f t="shared" si="1"/>
        <v>131</v>
      </c>
      <c r="C135" s="27" t="s">
        <v>2148</v>
      </c>
      <c r="D135" s="71" t="s">
        <v>227</v>
      </c>
      <c r="E135" s="27" t="s">
        <v>865</v>
      </c>
      <c r="F135" s="27" t="s">
        <v>1333</v>
      </c>
      <c r="G135" s="27"/>
      <c r="H135" s="89" t="s">
        <v>2222</v>
      </c>
    </row>
    <row r="136" spans="2:9" s="25" customFormat="1" ht="16.5" thickBot="1">
      <c r="B136" s="40">
        <f t="shared" si="1"/>
        <v>132</v>
      </c>
      <c r="C136" s="27" t="s">
        <v>2148</v>
      </c>
      <c r="D136" s="71" t="s">
        <v>227</v>
      </c>
      <c r="E136" s="27" t="s">
        <v>865</v>
      </c>
      <c r="F136" s="27" t="s">
        <v>1333</v>
      </c>
      <c r="G136" s="27"/>
      <c r="H136" s="89" t="s">
        <v>2223</v>
      </c>
    </row>
    <row r="137" spans="2:9" s="25" customFormat="1" ht="16.5" thickBot="1">
      <c r="B137" s="40">
        <f t="shared" si="1"/>
        <v>133</v>
      </c>
      <c r="C137" s="27" t="s">
        <v>2148</v>
      </c>
      <c r="D137" s="71" t="s">
        <v>227</v>
      </c>
      <c r="E137" s="27" t="s">
        <v>865</v>
      </c>
      <c r="F137" s="27" t="s">
        <v>1333</v>
      </c>
      <c r="G137" s="27"/>
      <c r="H137" s="89" t="s">
        <v>2224</v>
      </c>
    </row>
    <row r="138" spans="2:9" s="25" customFormat="1" ht="16.5" thickBot="1">
      <c r="B138" s="40">
        <f t="shared" si="1"/>
        <v>134</v>
      </c>
      <c r="C138" s="27" t="s">
        <v>2148</v>
      </c>
      <c r="D138" s="71" t="s">
        <v>227</v>
      </c>
      <c r="E138" s="27" t="s">
        <v>865</v>
      </c>
      <c r="F138" s="27" t="s">
        <v>1333</v>
      </c>
      <c r="G138" s="27"/>
      <c r="H138" s="89" t="s">
        <v>2225</v>
      </c>
    </row>
    <row r="139" spans="2:9" s="25" customFormat="1" ht="16.5" thickBot="1">
      <c r="B139" s="40">
        <f t="shared" ref="B139:B202" si="2">B138+1</f>
        <v>135</v>
      </c>
      <c r="C139" s="27" t="s">
        <v>2148</v>
      </c>
      <c r="D139" s="71" t="s">
        <v>227</v>
      </c>
      <c r="E139" s="49" t="s">
        <v>865</v>
      </c>
      <c r="F139" s="49"/>
      <c r="G139" s="49" t="s">
        <v>3027</v>
      </c>
      <c r="H139" s="90" t="s">
        <v>3026</v>
      </c>
    </row>
    <row r="140" spans="2:9" s="25" customFormat="1" ht="32.25" thickBot="1">
      <c r="B140" s="40">
        <f t="shared" si="2"/>
        <v>136</v>
      </c>
      <c r="C140" s="27" t="s">
        <v>2148</v>
      </c>
      <c r="D140" s="71" t="s">
        <v>227</v>
      </c>
      <c r="E140" s="49" t="s">
        <v>865</v>
      </c>
      <c r="F140" s="49"/>
      <c r="G140" s="49" t="s">
        <v>3028</v>
      </c>
      <c r="H140" s="95" t="s">
        <v>3029</v>
      </c>
    </row>
    <row r="141" spans="2:9" s="25" customFormat="1" ht="16.5" thickBot="1">
      <c r="B141" s="40">
        <f t="shared" si="2"/>
        <v>137</v>
      </c>
      <c r="C141" s="27" t="s">
        <v>2148</v>
      </c>
      <c r="D141" s="71" t="s">
        <v>227</v>
      </c>
      <c r="E141" s="49" t="s">
        <v>865</v>
      </c>
      <c r="F141" s="49"/>
      <c r="G141" s="49" t="s">
        <v>3031</v>
      </c>
      <c r="H141" s="95" t="s">
        <v>3030</v>
      </c>
    </row>
    <row r="142" spans="2:9" s="25" customFormat="1" ht="16.5" thickBot="1">
      <c r="B142" s="40">
        <f t="shared" si="2"/>
        <v>138</v>
      </c>
      <c r="C142" s="27" t="s">
        <v>2148</v>
      </c>
      <c r="D142" s="71" t="s">
        <v>227</v>
      </c>
      <c r="E142" s="49" t="s">
        <v>865</v>
      </c>
      <c r="F142" s="49"/>
      <c r="G142" s="49" t="s">
        <v>3033</v>
      </c>
      <c r="H142" s="95" t="s">
        <v>3032</v>
      </c>
    </row>
    <row r="143" spans="2:9" s="25" customFormat="1" ht="16.5" thickBot="1">
      <c r="B143" s="40">
        <f t="shared" si="2"/>
        <v>139</v>
      </c>
      <c r="C143" s="27" t="s">
        <v>2148</v>
      </c>
      <c r="D143" s="71" t="s">
        <v>227</v>
      </c>
      <c r="E143" s="49" t="s">
        <v>865</v>
      </c>
      <c r="F143" s="49"/>
      <c r="G143" s="49" t="s">
        <v>3035</v>
      </c>
      <c r="H143" s="95" t="s">
        <v>3034</v>
      </c>
    </row>
    <row r="144" spans="2:9" s="25" customFormat="1" ht="16.5" thickBot="1">
      <c r="B144" s="40">
        <f t="shared" si="2"/>
        <v>140</v>
      </c>
      <c r="C144" s="27" t="s">
        <v>2148</v>
      </c>
      <c r="D144" s="71" t="s">
        <v>227</v>
      </c>
      <c r="E144" s="49" t="s">
        <v>865</v>
      </c>
      <c r="F144" s="49"/>
      <c r="G144" s="49" t="s">
        <v>3037</v>
      </c>
      <c r="H144" s="95" t="s">
        <v>3036</v>
      </c>
    </row>
    <row r="145" spans="2:8" s="25" customFormat="1" ht="16.5" thickBot="1">
      <c r="B145" s="40">
        <f t="shared" si="2"/>
        <v>141</v>
      </c>
      <c r="C145" s="27" t="s">
        <v>2148</v>
      </c>
      <c r="D145" s="71" t="s">
        <v>227</v>
      </c>
      <c r="E145" s="49" t="s">
        <v>865</v>
      </c>
      <c r="F145" s="49"/>
      <c r="G145" s="49" t="s">
        <v>3039</v>
      </c>
      <c r="H145" s="95" t="s">
        <v>3038</v>
      </c>
    </row>
    <row r="146" spans="2:8" s="25" customFormat="1" ht="16.5" thickBot="1">
      <c r="B146" s="40">
        <f t="shared" si="2"/>
        <v>142</v>
      </c>
      <c r="C146" s="27" t="s">
        <v>2148</v>
      </c>
      <c r="D146" s="71" t="s">
        <v>227</v>
      </c>
      <c r="E146" s="49" t="s">
        <v>865</v>
      </c>
      <c r="F146" s="49"/>
      <c r="G146" s="49" t="s">
        <v>3040</v>
      </c>
      <c r="H146" s="95" t="s">
        <v>3835</v>
      </c>
    </row>
    <row r="147" spans="2:8" s="25" customFormat="1" ht="16.5" thickBot="1">
      <c r="B147" s="40">
        <f t="shared" si="2"/>
        <v>143</v>
      </c>
      <c r="C147" s="27" t="s">
        <v>2148</v>
      </c>
      <c r="D147" s="71" t="s">
        <v>227</v>
      </c>
      <c r="E147" s="49" t="s">
        <v>865</v>
      </c>
      <c r="F147" s="49"/>
      <c r="G147" s="49" t="s">
        <v>3041</v>
      </c>
      <c r="H147" s="95" t="s">
        <v>3042</v>
      </c>
    </row>
    <row r="148" spans="2:8" s="25" customFormat="1" ht="16.5" thickBot="1">
      <c r="B148" s="40">
        <f t="shared" si="2"/>
        <v>144</v>
      </c>
      <c r="C148" s="27" t="s">
        <v>2148</v>
      </c>
      <c r="D148" s="71" t="s">
        <v>227</v>
      </c>
      <c r="E148" s="49" t="s">
        <v>865</v>
      </c>
      <c r="F148" s="49"/>
      <c r="G148" s="49" t="s">
        <v>3043</v>
      </c>
      <c r="H148" s="95" t="s">
        <v>3042</v>
      </c>
    </row>
    <row r="149" spans="2:8" s="25" customFormat="1" ht="16.5" thickBot="1">
      <c r="B149" s="40">
        <f t="shared" si="2"/>
        <v>145</v>
      </c>
      <c r="C149" s="27" t="s">
        <v>2148</v>
      </c>
      <c r="D149" s="71" t="s">
        <v>227</v>
      </c>
      <c r="E149" s="49" t="s">
        <v>865</v>
      </c>
      <c r="F149" s="49"/>
      <c r="G149" s="49" t="s">
        <v>3044</v>
      </c>
      <c r="H149" s="95" t="s">
        <v>3045</v>
      </c>
    </row>
    <row r="150" spans="2:8" s="25" customFormat="1" ht="16.5" thickBot="1">
      <c r="B150" s="40">
        <f t="shared" si="2"/>
        <v>146</v>
      </c>
      <c r="C150" s="27" t="s">
        <v>2148</v>
      </c>
      <c r="D150" s="71" t="s">
        <v>227</v>
      </c>
      <c r="E150" s="49" t="s">
        <v>865</v>
      </c>
      <c r="F150" s="49"/>
      <c r="G150" s="49" t="s">
        <v>3047</v>
      </c>
      <c r="H150" s="95" t="s">
        <v>3046</v>
      </c>
    </row>
    <row r="151" spans="2:8" s="25" customFormat="1" ht="16.5" thickBot="1">
      <c r="B151" s="40">
        <f t="shared" si="2"/>
        <v>147</v>
      </c>
      <c r="C151" s="27" t="s">
        <v>2148</v>
      </c>
      <c r="D151" s="71" t="s">
        <v>227</v>
      </c>
      <c r="E151" s="49" t="s">
        <v>865</v>
      </c>
      <c r="F151" s="49"/>
      <c r="G151" s="49" t="s">
        <v>3049</v>
      </c>
      <c r="H151" s="95" t="s">
        <v>3048</v>
      </c>
    </row>
    <row r="152" spans="2:8" s="25" customFormat="1" ht="16.5" thickBot="1">
      <c r="B152" s="40">
        <f t="shared" si="2"/>
        <v>148</v>
      </c>
      <c r="C152" s="27" t="s">
        <v>2148</v>
      </c>
      <c r="D152" s="71" t="s">
        <v>227</v>
      </c>
      <c r="E152" s="49" t="s">
        <v>865</v>
      </c>
      <c r="F152" s="49"/>
      <c r="G152" s="49" t="s">
        <v>3050</v>
      </c>
      <c r="H152" s="95" t="s">
        <v>3836</v>
      </c>
    </row>
    <row r="153" spans="2:8" s="25" customFormat="1" ht="16.5" thickBot="1">
      <c r="B153" s="40">
        <f t="shared" si="2"/>
        <v>149</v>
      </c>
      <c r="C153" s="27" t="s">
        <v>2148</v>
      </c>
      <c r="D153" s="71" t="s">
        <v>227</v>
      </c>
      <c r="E153" s="49" t="s">
        <v>865</v>
      </c>
      <c r="F153" s="49"/>
      <c r="G153" s="49" t="s">
        <v>3051</v>
      </c>
      <c r="H153" s="95" t="s">
        <v>3052</v>
      </c>
    </row>
    <row r="154" spans="2:8" s="25" customFormat="1" ht="16.5" thickBot="1">
      <c r="B154" s="40">
        <f t="shared" si="2"/>
        <v>150</v>
      </c>
      <c r="C154" s="27" t="s">
        <v>2148</v>
      </c>
      <c r="D154" s="71" t="s">
        <v>227</v>
      </c>
      <c r="E154" s="49" t="s">
        <v>865</v>
      </c>
      <c r="F154" s="49"/>
      <c r="G154" s="49" t="s">
        <v>3054</v>
      </c>
      <c r="H154" s="95" t="s">
        <v>3053</v>
      </c>
    </row>
    <row r="155" spans="2:8" s="25" customFormat="1" ht="16.5" thickBot="1">
      <c r="B155" s="40">
        <f t="shared" si="2"/>
        <v>151</v>
      </c>
      <c r="C155" s="27" t="s">
        <v>2148</v>
      </c>
      <c r="D155" s="71" t="s">
        <v>227</v>
      </c>
      <c r="E155" s="49" t="s">
        <v>865</v>
      </c>
      <c r="F155" s="49"/>
      <c r="G155" s="49" t="s">
        <v>3056</v>
      </c>
      <c r="H155" s="95" t="s">
        <v>3055</v>
      </c>
    </row>
    <row r="156" spans="2:8" s="25" customFormat="1" ht="16.5" thickBot="1">
      <c r="B156" s="40">
        <f t="shared" si="2"/>
        <v>152</v>
      </c>
      <c r="C156" s="27" t="s">
        <v>2148</v>
      </c>
      <c r="D156" s="71" t="s">
        <v>227</v>
      </c>
      <c r="E156" s="49" t="s">
        <v>865</v>
      </c>
      <c r="F156" s="49"/>
      <c r="G156" s="49" t="s">
        <v>3058</v>
      </c>
      <c r="H156" s="95" t="s">
        <v>3057</v>
      </c>
    </row>
    <row r="157" spans="2:8" s="25" customFormat="1" ht="16.5" thickBot="1">
      <c r="B157" s="40">
        <f t="shared" si="2"/>
        <v>153</v>
      </c>
      <c r="C157" s="27" t="s">
        <v>2148</v>
      </c>
      <c r="D157" s="71" t="s">
        <v>227</v>
      </c>
      <c r="E157" s="49" t="s">
        <v>865</v>
      </c>
      <c r="F157" s="49"/>
      <c r="G157" s="49" t="s">
        <v>3059</v>
      </c>
      <c r="H157" s="95" t="s">
        <v>3062</v>
      </c>
    </row>
    <row r="158" spans="2:8" s="25" customFormat="1" ht="32.25" thickBot="1">
      <c r="B158" s="40">
        <f t="shared" si="2"/>
        <v>154</v>
      </c>
      <c r="C158" s="27" t="s">
        <v>2148</v>
      </c>
      <c r="D158" s="71" t="s">
        <v>227</v>
      </c>
      <c r="E158" s="49" t="s">
        <v>865</v>
      </c>
      <c r="F158" s="49"/>
      <c r="G158" s="49" t="s">
        <v>2226</v>
      </c>
      <c r="H158" s="95" t="s">
        <v>3063</v>
      </c>
    </row>
    <row r="159" spans="2:8" s="25" customFormat="1" ht="16.5" thickBot="1">
      <c r="B159" s="40">
        <f t="shared" si="2"/>
        <v>155</v>
      </c>
      <c r="C159" s="27" t="s">
        <v>2148</v>
      </c>
      <c r="D159" s="71" t="s">
        <v>227</v>
      </c>
      <c r="E159" s="49" t="s">
        <v>865</v>
      </c>
      <c r="F159" s="49"/>
      <c r="G159" s="49" t="s">
        <v>3061</v>
      </c>
      <c r="H159" s="95" t="s">
        <v>3060</v>
      </c>
    </row>
    <row r="160" spans="2:8" s="25" customFormat="1" ht="9" customHeight="1" thickBot="1">
      <c r="B160" s="23">
        <f t="shared" si="2"/>
        <v>156</v>
      </c>
      <c r="C160" s="43"/>
      <c r="D160" s="43"/>
      <c r="E160" s="43"/>
      <c r="F160" s="43"/>
      <c r="G160" s="43"/>
      <c r="H160" s="96"/>
    </row>
    <row r="161" spans="2:9" s="25" customFormat="1" ht="9" customHeight="1" thickBot="1">
      <c r="B161" s="23">
        <f t="shared" si="2"/>
        <v>157</v>
      </c>
      <c r="C161" s="37"/>
      <c r="D161" s="37"/>
      <c r="E161" s="37"/>
      <c r="F161" s="37"/>
      <c r="G161" s="38"/>
      <c r="H161" s="94"/>
    </row>
    <row r="162" spans="2:9" s="25" customFormat="1" ht="16.5" thickBot="1">
      <c r="B162" s="40">
        <f t="shared" si="2"/>
        <v>158</v>
      </c>
      <c r="C162" s="27" t="s">
        <v>2148</v>
      </c>
      <c r="D162" s="71" t="s">
        <v>228</v>
      </c>
      <c r="E162" s="27" t="s">
        <v>865</v>
      </c>
      <c r="F162" s="27" t="s">
        <v>866</v>
      </c>
      <c r="G162" s="26"/>
      <c r="H162" s="88" t="s">
        <v>2228</v>
      </c>
    </row>
    <row r="163" spans="2:9" s="25" customFormat="1" ht="16.5" thickBot="1">
      <c r="B163" s="40">
        <f t="shared" si="2"/>
        <v>159</v>
      </c>
      <c r="C163" s="27" t="s">
        <v>2148</v>
      </c>
      <c r="D163" s="71" t="s">
        <v>228</v>
      </c>
      <c r="E163" s="27" t="s">
        <v>865</v>
      </c>
      <c r="F163" s="27" t="s">
        <v>1728</v>
      </c>
      <c r="G163" s="26"/>
      <c r="H163" s="88" t="s">
        <v>3837</v>
      </c>
      <c r="I163" s="50" t="s">
        <v>2227</v>
      </c>
    </row>
    <row r="164" spans="2:9" s="25" customFormat="1" ht="16.5" thickBot="1">
      <c r="B164" s="40">
        <f t="shared" si="2"/>
        <v>160</v>
      </c>
      <c r="C164" s="27" t="s">
        <v>2148</v>
      </c>
      <c r="D164" s="71" t="s">
        <v>228</v>
      </c>
      <c r="E164" s="27" t="s">
        <v>865</v>
      </c>
      <c r="F164" s="27" t="s">
        <v>1333</v>
      </c>
      <c r="G164" s="27"/>
      <c r="H164" s="89" t="s">
        <v>2229</v>
      </c>
    </row>
    <row r="165" spans="2:9" s="25" customFormat="1" ht="16.5" thickBot="1">
      <c r="B165" s="40">
        <f t="shared" si="2"/>
        <v>161</v>
      </c>
      <c r="C165" s="27" t="s">
        <v>2148</v>
      </c>
      <c r="D165" s="71" t="s">
        <v>228</v>
      </c>
      <c r="E165" s="27" t="s">
        <v>865</v>
      </c>
      <c r="F165" s="27" t="s">
        <v>1333</v>
      </c>
      <c r="G165" s="27"/>
      <c r="H165" s="88" t="s">
        <v>3838</v>
      </c>
    </row>
    <row r="166" spans="2:9" s="25" customFormat="1" ht="16.5" thickBot="1">
      <c r="B166" s="40">
        <f t="shared" si="2"/>
        <v>162</v>
      </c>
      <c r="C166" s="27" t="s">
        <v>2148</v>
      </c>
      <c r="D166" s="71" t="s">
        <v>228</v>
      </c>
      <c r="E166" s="27" t="s">
        <v>865</v>
      </c>
      <c r="F166" s="27" t="s">
        <v>878</v>
      </c>
      <c r="G166" s="27"/>
      <c r="H166" s="88" t="s">
        <v>2230</v>
      </c>
    </row>
    <row r="167" spans="2:9" s="25" customFormat="1" ht="16.5" thickBot="1">
      <c r="B167" s="40">
        <f t="shared" si="2"/>
        <v>163</v>
      </c>
      <c r="C167" s="27" t="s">
        <v>2148</v>
      </c>
      <c r="D167" s="71" t="s">
        <v>228</v>
      </c>
      <c r="E167" s="27" t="s">
        <v>865</v>
      </c>
      <c r="F167" s="27"/>
      <c r="G167" s="27" t="s">
        <v>3064</v>
      </c>
      <c r="H167" s="88" t="s">
        <v>3072</v>
      </c>
    </row>
    <row r="168" spans="2:9" s="25" customFormat="1" ht="16.5" thickBot="1">
      <c r="B168" s="40">
        <f t="shared" si="2"/>
        <v>164</v>
      </c>
      <c r="C168" s="27" t="s">
        <v>2148</v>
      </c>
      <c r="D168" s="71" t="s">
        <v>228</v>
      </c>
      <c r="E168" s="27" t="s">
        <v>865</v>
      </c>
      <c r="F168" s="27"/>
      <c r="G168" s="27" t="s">
        <v>3065</v>
      </c>
      <c r="H168" s="88" t="s">
        <v>3073</v>
      </c>
    </row>
    <row r="169" spans="2:9" s="25" customFormat="1" ht="16.5" thickBot="1">
      <c r="B169" s="40">
        <f t="shared" si="2"/>
        <v>165</v>
      </c>
      <c r="C169" s="27" t="s">
        <v>2148</v>
      </c>
      <c r="D169" s="71" t="s">
        <v>228</v>
      </c>
      <c r="E169" s="27" t="s">
        <v>865</v>
      </c>
      <c r="F169" s="27"/>
      <c r="G169" s="27" t="s">
        <v>3066</v>
      </c>
      <c r="H169" s="88" t="s">
        <v>3067</v>
      </c>
    </row>
    <row r="170" spans="2:9" s="25" customFormat="1" ht="16.5" thickBot="1">
      <c r="B170" s="40">
        <f t="shared" si="2"/>
        <v>166</v>
      </c>
      <c r="C170" s="27" t="s">
        <v>2148</v>
      </c>
      <c r="D170" s="71" t="s">
        <v>228</v>
      </c>
      <c r="E170" s="27" t="s">
        <v>865</v>
      </c>
      <c r="F170" s="27"/>
      <c r="G170" s="27" t="s">
        <v>3068</v>
      </c>
      <c r="H170" s="88" t="s">
        <v>3071</v>
      </c>
    </row>
    <row r="171" spans="2:9" s="25" customFormat="1" ht="16.5" thickBot="1">
      <c r="B171" s="40">
        <f t="shared" si="2"/>
        <v>167</v>
      </c>
      <c r="C171" s="27" t="s">
        <v>2148</v>
      </c>
      <c r="D171" s="71" t="s">
        <v>228</v>
      </c>
      <c r="E171" s="27" t="s">
        <v>865</v>
      </c>
      <c r="F171" s="27"/>
      <c r="G171" s="27" t="s">
        <v>3069</v>
      </c>
      <c r="H171" s="88" t="s">
        <v>3070</v>
      </c>
    </row>
    <row r="172" spans="2:9" s="25" customFormat="1" ht="16.5" thickBot="1">
      <c r="B172" s="40">
        <f t="shared" si="2"/>
        <v>168</v>
      </c>
      <c r="C172" s="27" t="s">
        <v>2148</v>
      </c>
      <c r="D172" s="71" t="s">
        <v>228</v>
      </c>
      <c r="E172" s="27" t="s">
        <v>865</v>
      </c>
      <c r="F172" s="27"/>
      <c r="G172" s="27" t="s">
        <v>3074</v>
      </c>
      <c r="H172" s="88" t="s">
        <v>3079</v>
      </c>
    </row>
    <row r="173" spans="2:9" s="25" customFormat="1" ht="16.5" thickBot="1">
      <c r="B173" s="40">
        <f t="shared" si="2"/>
        <v>169</v>
      </c>
      <c r="C173" s="27" t="s">
        <v>2148</v>
      </c>
      <c r="D173" s="71" t="s">
        <v>228</v>
      </c>
      <c r="E173" s="27" t="s">
        <v>865</v>
      </c>
      <c r="F173" s="27"/>
      <c r="G173" s="27" t="s">
        <v>3075</v>
      </c>
      <c r="H173" s="88" t="s">
        <v>3078</v>
      </c>
    </row>
    <row r="174" spans="2:9" s="25" customFormat="1" ht="16.5" thickBot="1">
      <c r="B174" s="40">
        <f t="shared" si="2"/>
        <v>170</v>
      </c>
      <c r="C174" s="27" t="s">
        <v>2148</v>
      </c>
      <c r="D174" s="71" t="s">
        <v>228</v>
      </c>
      <c r="E174" s="27" t="s">
        <v>865</v>
      </c>
      <c r="F174" s="27"/>
      <c r="G174" s="27" t="s">
        <v>3076</v>
      </c>
      <c r="H174" s="88" t="s">
        <v>3077</v>
      </c>
    </row>
    <row r="175" spans="2:9" s="25" customFormat="1" ht="16.5" thickBot="1">
      <c r="B175" s="40">
        <f t="shared" si="2"/>
        <v>171</v>
      </c>
      <c r="C175" s="27" t="s">
        <v>2148</v>
      </c>
      <c r="D175" s="71" t="s">
        <v>228</v>
      </c>
      <c r="E175" s="27" t="s">
        <v>865</v>
      </c>
      <c r="F175" s="27"/>
      <c r="G175" s="27" t="s">
        <v>3080</v>
      </c>
      <c r="H175" s="88" t="s">
        <v>3083</v>
      </c>
    </row>
    <row r="176" spans="2:9" s="25" customFormat="1" ht="16.5" thickBot="1">
      <c r="B176" s="40">
        <f t="shared" si="2"/>
        <v>172</v>
      </c>
      <c r="C176" s="27" t="s">
        <v>2148</v>
      </c>
      <c r="D176" s="71" t="s">
        <v>228</v>
      </c>
      <c r="E176" s="27" t="s">
        <v>865</v>
      </c>
      <c r="F176" s="27"/>
      <c r="G176" s="27" t="s">
        <v>3081</v>
      </c>
      <c r="H176" s="88" t="s">
        <v>3082</v>
      </c>
    </row>
    <row r="177" spans="2:9" s="25" customFormat="1" ht="16.5" thickBot="1">
      <c r="B177" s="40">
        <f t="shared" si="2"/>
        <v>173</v>
      </c>
      <c r="C177" s="27" t="s">
        <v>2148</v>
      </c>
      <c r="D177" s="71" t="s">
        <v>228</v>
      </c>
      <c r="E177" s="27" t="s">
        <v>865</v>
      </c>
      <c r="F177" s="27"/>
      <c r="G177" s="27" t="s">
        <v>3084</v>
      </c>
      <c r="H177" s="88" t="s">
        <v>3087</v>
      </c>
    </row>
    <row r="178" spans="2:9" s="25" customFormat="1" ht="16.5" thickBot="1">
      <c r="B178" s="40">
        <f t="shared" si="2"/>
        <v>174</v>
      </c>
      <c r="C178" s="27" t="s">
        <v>2148</v>
      </c>
      <c r="D178" s="71" t="s">
        <v>228</v>
      </c>
      <c r="E178" s="27" t="s">
        <v>865</v>
      </c>
      <c r="F178" s="27"/>
      <c r="G178" s="27" t="s">
        <v>3085</v>
      </c>
      <c r="H178" s="88" t="s">
        <v>3088</v>
      </c>
    </row>
    <row r="179" spans="2:9" s="25" customFormat="1" ht="16.5" thickBot="1">
      <c r="B179" s="40">
        <f t="shared" si="2"/>
        <v>175</v>
      </c>
      <c r="C179" s="27" t="s">
        <v>2148</v>
      </c>
      <c r="D179" s="71" t="s">
        <v>228</v>
      </c>
      <c r="E179" s="27" t="s">
        <v>865</v>
      </c>
      <c r="F179" s="27"/>
      <c r="G179" s="27" t="s">
        <v>3086</v>
      </c>
      <c r="H179" s="88" t="s">
        <v>3089</v>
      </c>
    </row>
    <row r="180" spans="2:9" s="25" customFormat="1" ht="16.5" thickBot="1">
      <c r="B180" s="40">
        <f t="shared" si="2"/>
        <v>176</v>
      </c>
      <c r="C180" s="27" t="s">
        <v>2148</v>
      </c>
      <c r="D180" s="71" t="s">
        <v>228</v>
      </c>
      <c r="E180" s="27" t="s">
        <v>865</v>
      </c>
      <c r="F180" s="27"/>
      <c r="G180" s="27" t="s">
        <v>3091</v>
      </c>
      <c r="H180" s="88" t="s">
        <v>3090</v>
      </c>
    </row>
    <row r="181" spans="2:9" s="25" customFormat="1" ht="16.5" thickBot="1">
      <c r="B181" s="40">
        <f t="shared" si="2"/>
        <v>177</v>
      </c>
      <c r="C181" s="27" t="s">
        <v>2148</v>
      </c>
      <c r="D181" s="71" t="s">
        <v>228</v>
      </c>
      <c r="E181" s="27" t="s">
        <v>865</v>
      </c>
      <c r="F181" s="27"/>
      <c r="G181" s="27" t="s">
        <v>3092</v>
      </c>
      <c r="H181" s="88" t="s">
        <v>3093</v>
      </c>
    </row>
    <row r="182" spans="2:9" s="25" customFormat="1" ht="16.5" thickBot="1">
      <c r="B182" s="40">
        <f t="shared" si="2"/>
        <v>178</v>
      </c>
      <c r="C182" s="27" t="s">
        <v>2148</v>
      </c>
      <c r="D182" s="71" t="s">
        <v>228</v>
      </c>
      <c r="E182" s="27" t="s">
        <v>865</v>
      </c>
      <c r="F182" s="27"/>
      <c r="G182" s="27" t="s">
        <v>3094</v>
      </c>
      <c r="H182" s="88" t="s">
        <v>3839</v>
      </c>
    </row>
    <row r="183" spans="2:9" s="25" customFormat="1" ht="16.5" thickBot="1">
      <c r="B183" s="40">
        <f t="shared" si="2"/>
        <v>179</v>
      </c>
      <c r="C183" s="27" t="s">
        <v>2148</v>
      </c>
      <c r="D183" s="71" t="s">
        <v>228</v>
      </c>
      <c r="E183" s="27" t="s">
        <v>865</v>
      </c>
      <c r="F183" s="27"/>
      <c r="G183" s="27" t="s">
        <v>3095</v>
      </c>
      <c r="H183" s="88" t="s">
        <v>3098</v>
      </c>
    </row>
    <row r="184" spans="2:9" s="25" customFormat="1" ht="16.5" thickBot="1">
      <c r="B184" s="40">
        <f t="shared" si="2"/>
        <v>180</v>
      </c>
      <c r="C184" s="27" t="s">
        <v>2148</v>
      </c>
      <c r="D184" s="71" t="s">
        <v>228</v>
      </c>
      <c r="E184" s="27" t="s">
        <v>865</v>
      </c>
      <c r="F184" s="27"/>
      <c r="G184" s="27" t="s">
        <v>3096</v>
      </c>
      <c r="H184" s="88" t="s">
        <v>3097</v>
      </c>
    </row>
    <row r="185" spans="2:9" s="25" customFormat="1" ht="16.5" thickBot="1">
      <c r="B185" s="40">
        <f t="shared" si="2"/>
        <v>181</v>
      </c>
      <c r="C185" s="27" t="s">
        <v>2148</v>
      </c>
      <c r="D185" s="71" t="s">
        <v>228</v>
      </c>
      <c r="E185" s="27" t="s">
        <v>865</v>
      </c>
      <c r="F185" s="27"/>
      <c r="G185" s="27" t="s">
        <v>3099</v>
      </c>
      <c r="H185" s="88" t="s">
        <v>3100</v>
      </c>
    </row>
    <row r="186" spans="2:9" s="25" customFormat="1" ht="16.5" thickBot="1">
      <c r="B186" s="40">
        <f t="shared" si="2"/>
        <v>182</v>
      </c>
      <c r="C186" s="27" t="s">
        <v>2148</v>
      </c>
      <c r="D186" s="71" t="s">
        <v>228</v>
      </c>
      <c r="E186" s="27" t="s">
        <v>865</v>
      </c>
      <c r="F186" s="27"/>
      <c r="G186" s="27" t="s">
        <v>3102</v>
      </c>
      <c r="H186" s="88" t="s">
        <v>3101</v>
      </c>
    </row>
    <row r="187" spans="2:9" s="25" customFormat="1" ht="16.5" thickBot="1">
      <c r="B187" s="40">
        <f t="shared" si="2"/>
        <v>183</v>
      </c>
      <c r="C187" s="27" t="s">
        <v>2148</v>
      </c>
      <c r="D187" s="71" t="s">
        <v>228</v>
      </c>
      <c r="E187" s="27" t="s">
        <v>865</v>
      </c>
      <c r="F187" s="27"/>
      <c r="G187" s="27" t="s">
        <v>3103</v>
      </c>
      <c r="H187" s="88" t="s">
        <v>3104</v>
      </c>
    </row>
    <row r="188" spans="2:9" s="25" customFormat="1" ht="9" customHeight="1" thickBot="1">
      <c r="B188" s="23">
        <f t="shared" si="2"/>
        <v>184</v>
      </c>
      <c r="C188" s="43"/>
      <c r="D188" s="43"/>
      <c r="E188" s="43"/>
      <c r="F188" s="43"/>
      <c r="G188" s="43"/>
      <c r="H188" s="94"/>
    </row>
    <row r="189" spans="2:9" s="25" customFormat="1" ht="9" customHeight="1" thickBot="1">
      <c r="B189" s="23">
        <f t="shared" si="2"/>
        <v>185</v>
      </c>
      <c r="C189" s="37"/>
      <c r="D189" s="37"/>
      <c r="E189" s="37"/>
      <c r="F189" s="37"/>
      <c r="G189" s="38"/>
      <c r="H189" s="94"/>
    </row>
    <row r="190" spans="2:9" s="25" customFormat="1" ht="16.5" thickBot="1">
      <c r="B190" s="40">
        <f t="shared" si="2"/>
        <v>186</v>
      </c>
      <c r="C190" s="27" t="s">
        <v>2148</v>
      </c>
      <c r="D190" s="71" t="s">
        <v>229</v>
      </c>
      <c r="E190" s="27" t="s">
        <v>865</v>
      </c>
      <c r="F190" s="27" t="s">
        <v>866</v>
      </c>
      <c r="G190" s="26"/>
      <c r="H190" s="88" t="s">
        <v>2238</v>
      </c>
    </row>
    <row r="191" spans="2:9" s="25" customFormat="1" ht="16.5" thickBot="1">
      <c r="B191" s="40">
        <f t="shared" si="2"/>
        <v>187</v>
      </c>
      <c r="C191" s="27" t="s">
        <v>2148</v>
      </c>
      <c r="D191" s="71" t="s">
        <v>229</v>
      </c>
      <c r="E191" s="27" t="s">
        <v>865</v>
      </c>
      <c r="F191" s="27" t="s">
        <v>1728</v>
      </c>
      <c r="G191" s="26"/>
      <c r="H191" s="88" t="s">
        <v>3840</v>
      </c>
      <c r="I191" s="50" t="s">
        <v>2231</v>
      </c>
    </row>
    <row r="192" spans="2:9" s="25" customFormat="1" ht="16.5" thickBot="1">
      <c r="B192" s="40">
        <f t="shared" si="2"/>
        <v>188</v>
      </c>
      <c r="C192" s="27" t="s">
        <v>2148</v>
      </c>
      <c r="D192" s="71" t="s">
        <v>229</v>
      </c>
      <c r="E192" s="27" t="s">
        <v>865</v>
      </c>
      <c r="F192" s="27" t="s">
        <v>1333</v>
      </c>
      <c r="G192" s="27" t="s">
        <v>949</v>
      </c>
      <c r="H192" s="89" t="s">
        <v>2232</v>
      </c>
    </row>
    <row r="193" spans="2:8" s="25" customFormat="1" ht="16.5" thickBot="1">
      <c r="B193" s="40">
        <f t="shared" si="2"/>
        <v>189</v>
      </c>
      <c r="C193" s="27" t="s">
        <v>2148</v>
      </c>
      <c r="D193" s="71" t="s">
        <v>229</v>
      </c>
      <c r="E193" s="27" t="s">
        <v>865</v>
      </c>
      <c r="F193" s="27" t="s">
        <v>1333</v>
      </c>
      <c r="G193" s="27" t="s">
        <v>951</v>
      </c>
      <c r="H193" s="89" t="s">
        <v>2233</v>
      </c>
    </row>
    <row r="194" spans="2:8" s="25" customFormat="1" ht="16.5" thickBot="1">
      <c r="B194" s="40">
        <f t="shared" si="2"/>
        <v>190</v>
      </c>
      <c r="C194" s="27" t="s">
        <v>2148</v>
      </c>
      <c r="D194" s="71" t="s">
        <v>229</v>
      </c>
      <c r="E194" s="27" t="s">
        <v>865</v>
      </c>
      <c r="F194" s="27" t="s">
        <v>1333</v>
      </c>
      <c r="G194" s="27" t="s">
        <v>923</v>
      </c>
      <c r="H194" s="89" t="s">
        <v>2234</v>
      </c>
    </row>
    <row r="195" spans="2:8" s="25" customFormat="1" ht="16.5" thickBot="1">
      <c r="B195" s="40">
        <f t="shared" si="2"/>
        <v>191</v>
      </c>
      <c r="C195" s="27" t="s">
        <v>2148</v>
      </c>
      <c r="D195" s="71" t="s">
        <v>229</v>
      </c>
      <c r="E195" s="27" t="s">
        <v>865</v>
      </c>
      <c r="F195" s="27" t="s">
        <v>1333</v>
      </c>
      <c r="G195" s="27" t="s">
        <v>992</v>
      </c>
      <c r="H195" s="89" t="s">
        <v>2235</v>
      </c>
    </row>
    <row r="196" spans="2:8" s="25" customFormat="1" ht="16.5" thickBot="1">
      <c r="B196" s="40">
        <f t="shared" si="2"/>
        <v>192</v>
      </c>
      <c r="C196" s="27" t="s">
        <v>2148</v>
      </c>
      <c r="D196" s="71" t="s">
        <v>229</v>
      </c>
      <c r="E196" s="27" t="s">
        <v>865</v>
      </c>
      <c r="F196" s="27" t="s">
        <v>1333</v>
      </c>
      <c r="G196" s="49" t="s">
        <v>921</v>
      </c>
      <c r="H196" s="90" t="s">
        <v>2236</v>
      </c>
    </row>
    <row r="197" spans="2:8" s="25" customFormat="1" ht="16.5" thickBot="1">
      <c r="B197" s="40">
        <f t="shared" si="2"/>
        <v>193</v>
      </c>
      <c r="C197" s="27" t="s">
        <v>2148</v>
      </c>
      <c r="D197" s="71" t="s">
        <v>229</v>
      </c>
      <c r="E197" s="27" t="s">
        <v>865</v>
      </c>
      <c r="F197" s="27" t="s">
        <v>1333</v>
      </c>
      <c r="G197" s="49" t="s">
        <v>989</v>
      </c>
      <c r="H197" s="95" t="s">
        <v>2237</v>
      </c>
    </row>
    <row r="198" spans="2:8" s="25" customFormat="1" ht="48" thickBot="1">
      <c r="B198" s="40">
        <f t="shared" si="2"/>
        <v>194</v>
      </c>
      <c r="C198" s="27" t="s">
        <v>2148</v>
      </c>
      <c r="D198" s="71" t="s">
        <v>229</v>
      </c>
      <c r="E198" s="49" t="s">
        <v>865</v>
      </c>
      <c r="F198" s="49" t="s">
        <v>878</v>
      </c>
      <c r="G198" s="49"/>
      <c r="H198" s="95" t="s">
        <v>3841</v>
      </c>
    </row>
    <row r="199" spans="2:8" s="25" customFormat="1" ht="16.5" thickBot="1">
      <c r="B199" s="40">
        <f t="shared" si="2"/>
        <v>195</v>
      </c>
      <c r="C199" s="27" t="s">
        <v>2148</v>
      </c>
      <c r="D199" s="71" t="s">
        <v>229</v>
      </c>
      <c r="E199" s="49" t="s">
        <v>865</v>
      </c>
      <c r="F199" s="49"/>
      <c r="G199" s="49" t="s">
        <v>3105</v>
      </c>
      <c r="H199" s="95" t="s">
        <v>3110</v>
      </c>
    </row>
    <row r="200" spans="2:8" s="25" customFormat="1" ht="16.5" thickBot="1">
      <c r="B200" s="40">
        <f t="shared" si="2"/>
        <v>196</v>
      </c>
      <c r="C200" s="27" t="s">
        <v>2148</v>
      </c>
      <c r="D200" s="71" t="s">
        <v>229</v>
      </c>
      <c r="E200" s="49" t="s">
        <v>865</v>
      </c>
      <c r="F200" s="49"/>
      <c r="G200" s="49" t="s">
        <v>3106</v>
      </c>
      <c r="H200" s="95" t="s">
        <v>3109</v>
      </c>
    </row>
    <row r="201" spans="2:8" s="25" customFormat="1" ht="16.5" thickBot="1">
      <c r="B201" s="40">
        <f t="shared" si="2"/>
        <v>197</v>
      </c>
      <c r="C201" s="27" t="s">
        <v>2148</v>
      </c>
      <c r="D201" s="71" t="s">
        <v>229</v>
      </c>
      <c r="E201" s="49" t="s">
        <v>865</v>
      </c>
      <c r="F201" s="49"/>
      <c r="G201" s="49" t="s">
        <v>3107</v>
      </c>
      <c r="H201" s="95" t="s">
        <v>3108</v>
      </c>
    </row>
    <row r="202" spans="2:8" s="25" customFormat="1" ht="16.5" thickBot="1">
      <c r="B202" s="40">
        <f t="shared" si="2"/>
        <v>198</v>
      </c>
      <c r="C202" s="27" t="s">
        <v>2148</v>
      </c>
      <c r="D202" s="71" t="s">
        <v>229</v>
      </c>
      <c r="E202" s="49" t="s">
        <v>865</v>
      </c>
      <c r="F202" s="49"/>
      <c r="G202" s="49" t="s">
        <v>3112</v>
      </c>
      <c r="H202" s="95" t="s">
        <v>3111</v>
      </c>
    </row>
    <row r="203" spans="2:8" s="25" customFormat="1" ht="16.5" thickBot="1">
      <c r="B203" s="40">
        <f t="shared" ref="B203:B266" si="3">B202+1</f>
        <v>199</v>
      </c>
      <c r="C203" s="27" t="s">
        <v>2148</v>
      </c>
      <c r="D203" s="71" t="s">
        <v>229</v>
      </c>
      <c r="E203" s="49" t="s">
        <v>865</v>
      </c>
      <c r="F203" s="49"/>
      <c r="G203" s="49" t="s">
        <v>3114</v>
      </c>
      <c r="H203" s="95" t="s">
        <v>3113</v>
      </c>
    </row>
    <row r="204" spans="2:8" s="25" customFormat="1" ht="16.5" thickBot="1">
      <c r="B204" s="40">
        <f t="shared" si="3"/>
        <v>200</v>
      </c>
      <c r="C204" s="27" t="s">
        <v>2148</v>
      </c>
      <c r="D204" s="71" t="s">
        <v>229</v>
      </c>
      <c r="E204" s="49" t="s">
        <v>865</v>
      </c>
      <c r="F204" s="49"/>
      <c r="G204" s="49" t="s">
        <v>3116</v>
      </c>
      <c r="H204" s="95" t="s">
        <v>3115</v>
      </c>
    </row>
    <row r="205" spans="2:8" s="25" customFormat="1" ht="16.5" thickBot="1">
      <c r="B205" s="40">
        <f t="shared" si="3"/>
        <v>201</v>
      </c>
      <c r="C205" s="27" t="s">
        <v>2148</v>
      </c>
      <c r="D205" s="71" t="s">
        <v>229</v>
      </c>
      <c r="E205" s="49" t="s">
        <v>865</v>
      </c>
      <c r="F205" s="49"/>
      <c r="G205" s="49" t="s">
        <v>3117</v>
      </c>
      <c r="H205" s="95" t="s">
        <v>3118</v>
      </c>
    </row>
    <row r="206" spans="2:8" s="25" customFormat="1" ht="16.5" thickBot="1">
      <c r="B206" s="40">
        <f t="shared" si="3"/>
        <v>202</v>
      </c>
      <c r="C206" s="27" t="s">
        <v>2148</v>
      </c>
      <c r="D206" s="71" t="s">
        <v>229</v>
      </c>
      <c r="E206" s="49" t="s">
        <v>865</v>
      </c>
      <c r="F206" s="49"/>
      <c r="G206" s="49" t="s">
        <v>3120</v>
      </c>
      <c r="H206" s="95" t="s">
        <v>3119</v>
      </c>
    </row>
    <row r="207" spans="2:8" s="25" customFormat="1" ht="16.5" thickBot="1">
      <c r="B207" s="40">
        <f t="shared" si="3"/>
        <v>203</v>
      </c>
      <c r="C207" s="27" t="s">
        <v>2148</v>
      </c>
      <c r="D207" s="71" t="s">
        <v>229</v>
      </c>
      <c r="E207" s="49" t="s">
        <v>865</v>
      </c>
      <c r="F207" s="49"/>
      <c r="G207" s="49" t="s">
        <v>3122</v>
      </c>
      <c r="H207" s="95" t="s">
        <v>3121</v>
      </c>
    </row>
    <row r="208" spans="2:8" s="25" customFormat="1" ht="16.5" thickBot="1">
      <c r="B208" s="40">
        <f t="shared" si="3"/>
        <v>204</v>
      </c>
      <c r="C208" s="27" t="s">
        <v>2148</v>
      </c>
      <c r="D208" s="71" t="s">
        <v>229</v>
      </c>
      <c r="E208" s="49" t="s">
        <v>865</v>
      </c>
      <c r="F208" s="49"/>
      <c r="G208" s="49" t="s">
        <v>3124</v>
      </c>
      <c r="H208" s="95" t="s">
        <v>3123</v>
      </c>
    </row>
    <row r="209" spans="2:8" s="25" customFormat="1" ht="16.5" thickBot="1">
      <c r="B209" s="40">
        <f t="shared" si="3"/>
        <v>205</v>
      </c>
      <c r="C209" s="27" t="s">
        <v>2148</v>
      </c>
      <c r="D209" s="71" t="s">
        <v>229</v>
      </c>
      <c r="E209" s="49" t="s">
        <v>865</v>
      </c>
      <c r="F209" s="49"/>
      <c r="G209" s="49" t="s">
        <v>3126</v>
      </c>
      <c r="H209" s="95" t="s">
        <v>3125</v>
      </c>
    </row>
    <row r="210" spans="2:8" s="25" customFormat="1" ht="16.5" thickBot="1">
      <c r="B210" s="40">
        <f t="shared" si="3"/>
        <v>206</v>
      </c>
      <c r="C210" s="27" t="s">
        <v>2148</v>
      </c>
      <c r="D210" s="71" t="s">
        <v>229</v>
      </c>
      <c r="E210" s="49" t="s">
        <v>865</v>
      </c>
      <c r="F210" s="49"/>
      <c r="G210" s="49" t="s">
        <v>3127</v>
      </c>
      <c r="H210" s="95" t="s">
        <v>3130</v>
      </c>
    </row>
    <row r="211" spans="2:8" s="25" customFormat="1" ht="16.5" thickBot="1">
      <c r="B211" s="40">
        <f t="shared" si="3"/>
        <v>207</v>
      </c>
      <c r="C211" s="27" t="s">
        <v>2148</v>
      </c>
      <c r="D211" s="71" t="s">
        <v>229</v>
      </c>
      <c r="E211" s="49" t="s">
        <v>865</v>
      </c>
      <c r="F211" s="49"/>
      <c r="G211" s="49" t="s">
        <v>3128</v>
      </c>
      <c r="H211" s="95" t="s">
        <v>3129</v>
      </c>
    </row>
    <row r="212" spans="2:8" s="25" customFormat="1" ht="16.5" thickBot="1">
      <c r="B212" s="40">
        <f t="shared" si="3"/>
        <v>208</v>
      </c>
      <c r="C212" s="27" t="s">
        <v>2148</v>
      </c>
      <c r="D212" s="71" t="s">
        <v>229</v>
      </c>
      <c r="E212" s="49" t="s">
        <v>865</v>
      </c>
      <c r="F212" s="49"/>
      <c r="G212" s="49" t="s">
        <v>3131</v>
      </c>
      <c r="H212" s="95" t="s">
        <v>3132</v>
      </c>
    </row>
    <row r="213" spans="2:8" s="25" customFormat="1" ht="16.5" thickBot="1">
      <c r="B213" s="40">
        <f t="shared" si="3"/>
        <v>209</v>
      </c>
      <c r="C213" s="27" t="s">
        <v>2148</v>
      </c>
      <c r="D213" s="71" t="s">
        <v>229</v>
      </c>
      <c r="E213" s="49" t="s">
        <v>865</v>
      </c>
      <c r="F213" s="49"/>
      <c r="G213" s="49" t="s">
        <v>3134</v>
      </c>
      <c r="H213" s="95" t="s">
        <v>3133</v>
      </c>
    </row>
    <row r="214" spans="2:8" s="25" customFormat="1" ht="16.5" thickBot="1">
      <c r="B214" s="40">
        <f t="shared" si="3"/>
        <v>210</v>
      </c>
      <c r="C214" s="27" t="s">
        <v>2148</v>
      </c>
      <c r="D214" s="71" t="s">
        <v>229</v>
      </c>
      <c r="E214" s="49" t="s">
        <v>865</v>
      </c>
      <c r="F214" s="49"/>
      <c r="G214" s="49" t="s">
        <v>3135</v>
      </c>
      <c r="H214" s="95" t="s">
        <v>3136</v>
      </c>
    </row>
    <row r="215" spans="2:8" s="25" customFormat="1" ht="16.5" thickBot="1">
      <c r="B215" s="40">
        <f t="shared" si="3"/>
        <v>211</v>
      </c>
      <c r="C215" s="27" t="s">
        <v>2148</v>
      </c>
      <c r="D215" s="71" t="s">
        <v>229</v>
      </c>
      <c r="E215" s="49" t="s">
        <v>865</v>
      </c>
      <c r="F215" s="49"/>
      <c r="G215" s="49" t="s">
        <v>3138</v>
      </c>
      <c r="H215" s="95" t="s">
        <v>3137</v>
      </c>
    </row>
    <row r="216" spans="2:8" s="25" customFormat="1" ht="16.5" thickBot="1">
      <c r="B216" s="40">
        <f t="shared" si="3"/>
        <v>212</v>
      </c>
      <c r="C216" s="27" t="s">
        <v>2148</v>
      </c>
      <c r="D216" s="71" t="s">
        <v>229</v>
      </c>
      <c r="E216" s="49" t="s">
        <v>865</v>
      </c>
      <c r="F216" s="49"/>
      <c r="G216" s="49" t="s">
        <v>3139</v>
      </c>
      <c r="H216" s="95" t="s">
        <v>3137</v>
      </c>
    </row>
    <row r="217" spans="2:8" s="25" customFormat="1" ht="16.5" thickBot="1">
      <c r="B217" s="40">
        <f t="shared" si="3"/>
        <v>213</v>
      </c>
      <c r="C217" s="27" t="s">
        <v>2148</v>
      </c>
      <c r="D217" s="71" t="s">
        <v>229</v>
      </c>
      <c r="E217" s="49" t="s">
        <v>865</v>
      </c>
      <c r="F217" s="49"/>
      <c r="G217" s="49" t="s">
        <v>3140</v>
      </c>
      <c r="H217" s="95" t="s">
        <v>3143</v>
      </c>
    </row>
    <row r="218" spans="2:8" s="25" customFormat="1" ht="16.5" thickBot="1">
      <c r="B218" s="40">
        <f t="shared" si="3"/>
        <v>214</v>
      </c>
      <c r="C218" s="27" t="s">
        <v>2148</v>
      </c>
      <c r="D218" s="71" t="s">
        <v>229</v>
      </c>
      <c r="E218" s="49" t="s">
        <v>865</v>
      </c>
      <c r="F218" s="49"/>
      <c r="G218" s="49" t="s">
        <v>3141</v>
      </c>
      <c r="H218" s="95" t="s">
        <v>3142</v>
      </c>
    </row>
    <row r="219" spans="2:8" s="25" customFormat="1" ht="16.5" thickBot="1">
      <c r="B219" s="40">
        <f t="shared" si="3"/>
        <v>215</v>
      </c>
      <c r="C219" s="27" t="s">
        <v>2148</v>
      </c>
      <c r="D219" s="71" t="s">
        <v>229</v>
      </c>
      <c r="E219" s="49" t="s">
        <v>865</v>
      </c>
      <c r="F219" s="49"/>
      <c r="G219" s="49" t="s">
        <v>3144</v>
      </c>
      <c r="H219" s="95" t="s">
        <v>3145</v>
      </c>
    </row>
    <row r="220" spans="2:8" s="25" customFormat="1" ht="16.5" thickBot="1">
      <c r="B220" s="40">
        <f t="shared" si="3"/>
        <v>216</v>
      </c>
      <c r="C220" s="27" t="s">
        <v>2148</v>
      </c>
      <c r="D220" s="71" t="s">
        <v>229</v>
      </c>
      <c r="E220" s="49" t="s">
        <v>865</v>
      </c>
      <c r="F220" s="49"/>
      <c r="G220" s="49" t="s">
        <v>3146</v>
      </c>
      <c r="H220" s="95" t="s">
        <v>3133</v>
      </c>
    </row>
    <row r="221" spans="2:8" s="25" customFormat="1" ht="16.5" thickBot="1">
      <c r="B221" s="40">
        <f t="shared" si="3"/>
        <v>217</v>
      </c>
      <c r="C221" s="27" t="s">
        <v>2148</v>
      </c>
      <c r="D221" s="71" t="s">
        <v>229</v>
      </c>
      <c r="E221" s="49" t="s">
        <v>865</v>
      </c>
      <c r="F221" s="49"/>
      <c r="G221" s="49" t="s">
        <v>3147</v>
      </c>
      <c r="H221" s="95" t="s">
        <v>3148</v>
      </c>
    </row>
    <row r="222" spans="2:8" s="25" customFormat="1" ht="16.5" thickBot="1">
      <c r="B222" s="40">
        <f t="shared" si="3"/>
        <v>218</v>
      </c>
      <c r="C222" s="27" t="s">
        <v>2148</v>
      </c>
      <c r="D222" s="71" t="s">
        <v>229</v>
      </c>
      <c r="E222" s="49" t="s">
        <v>865</v>
      </c>
      <c r="F222" s="49"/>
      <c r="G222" s="49" t="s">
        <v>3149</v>
      </c>
      <c r="H222" s="95" t="s">
        <v>3150</v>
      </c>
    </row>
    <row r="223" spans="2:8" s="25" customFormat="1" ht="16.5" thickBot="1">
      <c r="B223" s="40">
        <f t="shared" si="3"/>
        <v>219</v>
      </c>
      <c r="C223" s="27" t="s">
        <v>2148</v>
      </c>
      <c r="D223" s="71" t="s">
        <v>229</v>
      </c>
      <c r="E223" s="49" t="s">
        <v>865</v>
      </c>
      <c r="F223" s="49"/>
      <c r="G223" s="49" t="s">
        <v>3152</v>
      </c>
      <c r="H223" s="95" t="s">
        <v>3151</v>
      </c>
    </row>
    <row r="224" spans="2:8" s="25" customFormat="1" ht="16.5" thickBot="1">
      <c r="B224" s="40">
        <f t="shared" si="3"/>
        <v>220</v>
      </c>
      <c r="C224" s="27" t="s">
        <v>2148</v>
      </c>
      <c r="D224" s="71" t="s">
        <v>229</v>
      </c>
      <c r="E224" s="49" t="s">
        <v>865</v>
      </c>
      <c r="F224" s="49"/>
      <c r="G224" s="49" t="s">
        <v>3153</v>
      </c>
      <c r="H224" s="95" t="s">
        <v>3154</v>
      </c>
    </row>
    <row r="225" spans="2:8" s="25" customFormat="1" ht="16.5" thickBot="1">
      <c r="B225" s="40">
        <f t="shared" si="3"/>
        <v>221</v>
      </c>
      <c r="C225" s="27" t="s">
        <v>2148</v>
      </c>
      <c r="D225" s="71" t="s">
        <v>229</v>
      </c>
      <c r="E225" s="49" t="s">
        <v>865</v>
      </c>
      <c r="F225" s="49"/>
      <c r="G225" s="49" t="s">
        <v>3155</v>
      </c>
      <c r="H225" s="95" t="s">
        <v>3156</v>
      </c>
    </row>
    <row r="226" spans="2:8" s="25" customFormat="1" ht="16.5" thickBot="1">
      <c r="B226" s="40">
        <f t="shared" si="3"/>
        <v>222</v>
      </c>
      <c r="C226" s="27" t="s">
        <v>2148</v>
      </c>
      <c r="D226" s="71" t="s">
        <v>229</v>
      </c>
      <c r="E226" s="49" t="s">
        <v>865</v>
      </c>
      <c r="F226" s="49"/>
      <c r="G226" s="49" t="s">
        <v>3157</v>
      </c>
      <c r="H226" s="95" t="s">
        <v>3158</v>
      </c>
    </row>
    <row r="227" spans="2:8" s="25" customFormat="1" ht="16.5" thickBot="1">
      <c r="B227" s="40">
        <f t="shared" si="3"/>
        <v>223</v>
      </c>
      <c r="C227" s="27" t="s">
        <v>2148</v>
      </c>
      <c r="D227" s="71" t="s">
        <v>229</v>
      </c>
      <c r="E227" s="49" t="s">
        <v>865</v>
      </c>
      <c r="F227" s="49"/>
      <c r="G227" s="49" t="s">
        <v>3159</v>
      </c>
      <c r="H227" s="95" t="s">
        <v>3160</v>
      </c>
    </row>
    <row r="228" spans="2:8" s="25" customFormat="1" ht="16.5" thickBot="1">
      <c r="B228" s="40">
        <f t="shared" si="3"/>
        <v>224</v>
      </c>
      <c r="C228" s="27" t="s">
        <v>2148</v>
      </c>
      <c r="D228" s="71" t="s">
        <v>229</v>
      </c>
      <c r="E228" s="49" t="s">
        <v>865</v>
      </c>
      <c r="F228" s="49"/>
      <c r="G228" s="49" t="s">
        <v>3161</v>
      </c>
      <c r="H228" s="95" t="s">
        <v>3162</v>
      </c>
    </row>
    <row r="229" spans="2:8" s="25" customFormat="1" ht="16.5" thickBot="1">
      <c r="B229" s="40">
        <f t="shared" si="3"/>
        <v>225</v>
      </c>
      <c r="C229" s="27" t="s">
        <v>2148</v>
      </c>
      <c r="D229" s="71" t="s">
        <v>229</v>
      </c>
      <c r="E229" s="49" t="s">
        <v>865</v>
      </c>
      <c r="F229" s="49"/>
      <c r="G229" s="49" t="s">
        <v>3163</v>
      </c>
      <c r="H229" s="95" t="s">
        <v>3164</v>
      </c>
    </row>
    <row r="230" spans="2:8" s="25" customFormat="1" ht="16.5" thickBot="1">
      <c r="B230" s="40">
        <f t="shared" si="3"/>
        <v>226</v>
      </c>
      <c r="C230" s="27" t="s">
        <v>2148</v>
      </c>
      <c r="D230" s="71" t="s">
        <v>229</v>
      </c>
      <c r="E230" s="49" t="s">
        <v>865</v>
      </c>
      <c r="F230" s="49"/>
      <c r="G230" s="49" t="s">
        <v>3165</v>
      </c>
      <c r="H230" s="95" t="s">
        <v>3166</v>
      </c>
    </row>
    <row r="231" spans="2:8" s="25" customFormat="1" ht="16.5" thickBot="1">
      <c r="B231" s="40">
        <f t="shared" si="3"/>
        <v>227</v>
      </c>
      <c r="C231" s="27" t="s">
        <v>2148</v>
      </c>
      <c r="D231" s="71" t="s">
        <v>229</v>
      </c>
      <c r="E231" s="49" t="s">
        <v>865</v>
      </c>
      <c r="F231" s="49"/>
      <c r="G231" s="49" t="s">
        <v>3167</v>
      </c>
      <c r="H231" s="95" t="s">
        <v>3170</v>
      </c>
    </row>
    <row r="232" spans="2:8" s="25" customFormat="1" ht="16.5" thickBot="1">
      <c r="B232" s="40">
        <f t="shared" si="3"/>
        <v>228</v>
      </c>
      <c r="C232" s="27" t="s">
        <v>2148</v>
      </c>
      <c r="D232" s="71" t="s">
        <v>229</v>
      </c>
      <c r="E232" s="49" t="s">
        <v>865</v>
      </c>
      <c r="F232" s="49"/>
      <c r="G232" s="49" t="s">
        <v>3169</v>
      </c>
      <c r="H232" s="95" t="s">
        <v>3168</v>
      </c>
    </row>
    <row r="233" spans="2:8" s="25" customFormat="1" ht="16.5" thickBot="1">
      <c r="B233" s="40">
        <f t="shared" si="3"/>
        <v>229</v>
      </c>
      <c r="C233" s="27" t="s">
        <v>2148</v>
      </c>
      <c r="D233" s="71" t="s">
        <v>229</v>
      </c>
      <c r="E233" s="49" t="s">
        <v>865</v>
      </c>
      <c r="F233" s="49"/>
      <c r="G233" s="49" t="s">
        <v>3172</v>
      </c>
      <c r="H233" s="95" t="s">
        <v>3171</v>
      </c>
    </row>
    <row r="234" spans="2:8" s="25" customFormat="1" ht="16.5" thickBot="1">
      <c r="B234" s="40">
        <f t="shared" si="3"/>
        <v>230</v>
      </c>
      <c r="C234" s="27" t="s">
        <v>2148</v>
      </c>
      <c r="D234" s="71" t="s">
        <v>229</v>
      </c>
      <c r="E234" s="49" t="s">
        <v>865</v>
      </c>
      <c r="F234" s="49"/>
      <c r="G234" s="49" t="s">
        <v>3174</v>
      </c>
      <c r="H234" s="95" t="s">
        <v>3173</v>
      </c>
    </row>
    <row r="235" spans="2:8" s="25" customFormat="1" ht="16.5" thickBot="1">
      <c r="B235" s="40">
        <f t="shared" si="3"/>
        <v>231</v>
      </c>
      <c r="C235" s="27" t="s">
        <v>2148</v>
      </c>
      <c r="D235" s="71" t="s">
        <v>229</v>
      </c>
      <c r="E235" s="49" t="s">
        <v>865</v>
      </c>
      <c r="F235" s="49"/>
      <c r="G235" s="49" t="s">
        <v>3176</v>
      </c>
      <c r="H235" s="95" t="s">
        <v>3175</v>
      </c>
    </row>
    <row r="236" spans="2:8" s="25" customFormat="1" ht="16.5" thickBot="1">
      <c r="B236" s="40">
        <f t="shared" si="3"/>
        <v>232</v>
      </c>
      <c r="C236" s="27" t="s">
        <v>2148</v>
      </c>
      <c r="D236" s="71" t="s">
        <v>229</v>
      </c>
      <c r="E236" s="49" t="s">
        <v>865</v>
      </c>
      <c r="F236" s="49"/>
      <c r="G236" s="49" t="s">
        <v>3178</v>
      </c>
      <c r="H236" s="95" t="s">
        <v>3177</v>
      </c>
    </row>
    <row r="237" spans="2:8" s="25" customFormat="1" ht="16.5" thickBot="1">
      <c r="B237" s="40">
        <f t="shared" si="3"/>
        <v>233</v>
      </c>
      <c r="C237" s="27" t="s">
        <v>2148</v>
      </c>
      <c r="D237" s="71" t="s">
        <v>229</v>
      </c>
      <c r="E237" s="49" t="s">
        <v>865</v>
      </c>
      <c r="F237" s="49"/>
      <c r="G237" s="49" t="s">
        <v>3180</v>
      </c>
      <c r="H237" s="95" t="s">
        <v>3179</v>
      </c>
    </row>
    <row r="238" spans="2:8" s="25" customFormat="1" ht="16.5" thickBot="1">
      <c r="B238" s="40">
        <f t="shared" si="3"/>
        <v>234</v>
      </c>
      <c r="C238" s="27" t="s">
        <v>2148</v>
      </c>
      <c r="D238" s="71" t="s">
        <v>229</v>
      </c>
      <c r="E238" s="49" t="s">
        <v>865</v>
      </c>
      <c r="F238" s="49"/>
      <c r="G238" s="49" t="s">
        <v>3182</v>
      </c>
      <c r="H238" s="95" t="s">
        <v>3181</v>
      </c>
    </row>
    <row r="239" spans="2:8" s="25" customFormat="1" ht="16.5" thickBot="1">
      <c r="B239" s="40">
        <f t="shared" si="3"/>
        <v>235</v>
      </c>
      <c r="C239" s="27" t="s">
        <v>2148</v>
      </c>
      <c r="D239" s="71" t="s">
        <v>229</v>
      </c>
      <c r="E239" s="49" t="s">
        <v>865</v>
      </c>
      <c r="F239" s="49"/>
      <c r="G239" s="49" t="s">
        <v>3183</v>
      </c>
      <c r="H239" s="95" t="s">
        <v>3184</v>
      </c>
    </row>
    <row r="240" spans="2:8" s="25" customFormat="1" ht="9" customHeight="1" thickBot="1">
      <c r="B240" s="23">
        <f t="shared" si="3"/>
        <v>236</v>
      </c>
      <c r="C240" s="43"/>
      <c r="D240" s="43"/>
      <c r="E240" s="43"/>
      <c r="F240" s="43"/>
      <c r="G240" s="43"/>
      <c r="H240" s="96"/>
    </row>
    <row r="241" spans="2:9" s="25" customFormat="1" ht="9" customHeight="1" thickBot="1">
      <c r="B241" s="23">
        <f t="shared" si="3"/>
        <v>237</v>
      </c>
      <c r="C241" s="37"/>
      <c r="D241" s="37"/>
      <c r="E241" s="37"/>
      <c r="F241" s="37"/>
      <c r="G241" s="38"/>
      <c r="H241" s="94"/>
    </row>
    <row r="242" spans="2:9" s="25" customFormat="1" ht="16.5" thickBot="1">
      <c r="B242" s="40">
        <f t="shared" si="3"/>
        <v>238</v>
      </c>
      <c r="C242" s="27" t="s">
        <v>2148</v>
      </c>
      <c r="D242" s="71" t="s">
        <v>210</v>
      </c>
      <c r="E242" s="27" t="s">
        <v>865</v>
      </c>
      <c r="F242" s="27" t="s">
        <v>866</v>
      </c>
      <c r="G242" s="26"/>
      <c r="H242" s="88" t="s">
        <v>3842</v>
      </c>
    </row>
    <row r="243" spans="2:9" s="25" customFormat="1" ht="16.5" thickBot="1">
      <c r="B243" s="40">
        <f t="shared" si="3"/>
        <v>239</v>
      </c>
      <c r="C243" s="27" t="s">
        <v>2148</v>
      </c>
      <c r="D243" s="71" t="s">
        <v>210</v>
      </c>
      <c r="E243" s="27" t="s">
        <v>865</v>
      </c>
      <c r="F243" s="27" t="s">
        <v>1728</v>
      </c>
      <c r="G243" s="26"/>
      <c r="H243" s="88" t="s">
        <v>3843</v>
      </c>
      <c r="I243" s="50" t="s">
        <v>1942</v>
      </c>
    </row>
    <row r="244" spans="2:9" s="25" customFormat="1" ht="16.5" thickBot="1">
      <c r="B244" s="40">
        <f t="shared" si="3"/>
        <v>240</v>
      </c>
      <c r="C244" s="27" t="s">
        <v>2148</v>
      </c>
      <c r="D244" s="71" t="s">
        <v>210</v>
      </c>
      <c r="E244" s="27" t="s">
        <v>865</v>
      </c>
      <c r="F244" s="27" t="s">
        <v>1333</v>
      </c>
      <c r="G244" s="27" t="s">
        <v>1944</v>
      </c>
      <c r="H244" s="89" t="s">
        <v>1943</v>
      </c>
    </row>
    <row r="245" spans="2:9" s="25" customFormat="1" ht="16.5" thickBot="1">
      <c r="B245" s="40">
        <f t="shared" si="3"/>
        <v>241</v>
      </c>
      <c r="C245" s="27" t="s">
        <v>2148</v>
      </c>
      <c r="D245" s="71" t="s">
        <v>210</v>
      </c>
      <c r="E245" s="27" t="s">
        <v>865</v>
      </c>
      <c r="F245" s="27" t="s">
        <v>1333</v>
      </c>
      <c r="G245" s="27" t="s">
        <v>1945</v>
      </c>
      <c r="H245" s="89" t="s">
        <v>1943</v>
      </c>
    </row>
    <row r="246" spans="2:9" s="25" customFormat="1" ht="16.5" thickBot="1">
      <c r="B246" s="40">
        <f t="shared" si="3"/>
        <v>242</v>
      </c>
      <c r="C246" s="27" t="s">
        <v>2148</v>
      </c>
      <c r="D246" s="71" t="s">
        <v>210</v>
      </c>
      <c r="E246" s="27" t="s">
        <v>865</v>
      </c>
      <c r="F246" s="27" t="s">
        <v>1333</v>
      </c>
      <c r="G246" s="27" t="s">
        <v>1947</v>
      </c>
      <c r="H246" s="89" t="s">
        <v>1946</v>
      </c>
    </row>
    <row r="247" spans="2:9" s="25" customFormat="1" ht="16.5" thickBot="1">
      <c r="B247" s="40">
        <f t="shared" si="3"/>
        <v>243</v>
      </c>
      <c r="C247" s="27" t="s">
        <v>2148</v>
      </c>
      <c r="D247" s="71" t="s">
        <v>210</v>
      </c>
      <c r="E247" s="27" t="s">
        <v>865</v>
      </c>
      <c r="F247" s="27" t="s">
        <v>1333</v>
      </c>
      <c r="G247" s="27" t="s">
        <v>1949</v>
      </c>
      <c r="H247" s="89" t="s">
        <v>1948</v>
      </c>
    </row>
    <row r="248" spans="2:9" s="25" customFormat="1" ht="48" thickBot="1">
      <c r="B248" s="40">
        <f t="shared" si="3"/>
        <v>244</v>
      </c>
      <c r="C248" s="27" t="s">
        <v>2148</v>
      </c>
      <c r="D248" s="71" t="s">
        <v>210</v>
      </c>
      <c r="E248" s="27" t="s">
        <v>865</v>
      </c>
      <c r="F248" s="27" t="s">
        <v>878</v>
      </c>
      <c r="G248" s="27"/>
      <c r="H248" s="89" t="s">
        <v>3844</v>
      </c>
    </row>
    <row r="249" spans="2:9" s="25" customFormat="1" ht="16.5" thickBot="1">
      <c r="B249" s="40">
        <f t="shared" si="3"/>
        <v>245</v>
      </c>
      <c r="C249" s="27" t="s">
        <v>2148</v>
      </c>
      <c r="D249" s="71" t="s">
        <v>210</v>
      </c>
      <c r="E249" s="27" t="s">
        <v>865</v>
      </c>
      <c r="F249" s="27"/>
      <c r="G249" s="27" t="s">
        <v>1951</v>
      </c>
      <c r="H249" s="89" t="s">
        <v>3185</v>
      </c>
    </row>
    <row r="250" spans="2:9" s="25" customFormat="1" ht="16.5" thickBot="1">
      <c r="B250" s="40">
        <f t="shared" si="3"/>
        <v>246</v>
      </c>
      <c r="C250" s="27" t="s">
        <v>2148</v>
      </c>
      <c r="D250" s="71" t="s">
        <v>210</v>
      </c>
      <c r="E250" s="27" t="s">
        <v>865</v>
      </c>
      <c r="F250" s="27"/>
      <c r="G250" s="27" t="s">
        <v>1953</v>
      </c>
      <c r="H250" s="89" t="s">
        <v>1952</v>
      </c>
    </row>
    <row r="251" spans="2:9" s="25" customFormat="1" ht="16.5" thickBot="1">
      <c r="B251" s="40">
        <f t="shared" si="3"/>
        <v>247</v>
      </c>
      <c r="C251" s="27" t="s">
        <v>2148</v>
      </c>
      <c r="D251" s="71" t="s">
        <v>210</v>
      </c>
      <c r="E251" s="27" t="s">
        <v>865</v>
      </c>
      <c r="F251" s="27"/>
      <c r="G251" s="27" t="s">
        <v>1955</v>
      </c>
      <c r="H251" s="89" t="s">
        <v>3186</v>
      </c>
    </row>
    <row r="252" spans="2:9" s="25" customFormat="1" ht="32.25" thickBot="1">
      <c r="B252" s="40">
        <f t="shared" si="3"/>
        <v>248</v>
      </c>
      <c r="C252" s="27" t="s">
        <v>2148</v>
      </c>
      <c r="D252" s="71" t="s">
        <v>210</v>
      </c>
      <c r="E252" s="27" t="s">
        <v>865</v>
      </c>
      <c r="F252" s="27"/>
      <c r="G252" s="27" t="s">
        <v>1956</v>
      </c>
      <c r="H252" s="89" t="s">
        <v>3187</v>
      </c>
    </row>
    <row r="253" spans="2:9" s="25" customFormat="1" ht="16.5" thickBot="1">
      <c r="B253" s="40">
        <f t="shared" si="3"/>
        <v>249</v>
      </c>
      <c r="C253" s="27" t="s">
        <v>2148</v>
      </c>
      <c r="D253" s="71" t="s">
        <v>210</v>
      </c>
      <c r="E253" s="27" t="s">
        <v>865</v>
      </c>
      <c r="F253" s="27"/>
      <c r="G253" s="27" t="s">
        <v>1960</v>
      </c>
      <c r="H253" s="89" t="s">
        <v>1959</v>
      </c>
    </row>
    <row r="254" spans="2:9" s="25" customFormat="1" ht="16.5" thickBot="1">
      <c r="B254" s="40">
        <f t="shared" si="3"/>
        <v>250</v>
      </c>
      <c r="C254" s="27" t="s">
        <v>2148</v>
      </c>
      <c r="D254" s="71" t="s">
        <v>210</v>
      </c>
      <c r="E254" s="27" t="s">
        <v>865</v>
      </c>
      <c r="F254" s="27"/>
      <c r="G254" s="27" t="s">
        <v>1962</v>
      </c>
      <c r="H254" s="89" t="s">
        <v>3188</v>
      </c>
    </row>
    <row r="255" spans="2:9" s="25" customFormat="1" ht="16.5" thickBot="1">
      <c r="B255" s="40">
        <f t="shared" si="3"/>
        <v>251</v>
      </c>
      <c r="C255" s="27" t="s">
        <v>2148</v>
      </c>
      <c r="D255" s="71" t="s">
        <v>210</v>
      </c>
      <c r="E255" s="27" t="s">
        <v>865</v>
      </c>
      <c r="F255" s="27"/>
      <c r="G255" s="27" t="s">
        <v>3189</v>
      </c>
      <c r="H255" s="89" t="s">
        <v>3845</v>
      </c>
    </row>
    <row r="256" spans="2:9" s="25" customFormat="1" ht="16.5" thickBot="1">
      <c r="B256" s="40">
        <f t="shared" si="3"/>
        <v>252</v>
      </c>
      <c r="C256" s="27" t="s">
        <v>2148</v>
      </c>
      <c r="D256" s="71" t="s">
        <v>210</v>
      </c>
      <c r="E256" s="27" t="s">
        <v>865</v>
      </c>
      <c r="F256" s="27"/>
      <c r="G256" s="27" t="s">
        <v>1967</v>
      </c>
      <c r="H256" s="89" t="s">
        <v>1966</v>
      </c>
    </row>
    <row r="257" spans="2:9" s="25" customFormat="1" ht="16.5" thickBot="1">
      <c r="B257" s="40">
        <f t="shared" si="3"/>
        <v>253</v>
      </c>
      <c r="C257" s="27" t="s">
        <v>2148</v>
      </c>
      <c r="D257" s="71" t="s">
        <v>210</v>
      </c>
      <c r="E257" s="27" t="s">
        <v>865</v>
      </c>
      <c r="F257" s="27"/>
      <c r="G257" s="27" t="s">
        <v>2170</v>
      </c>
      <c r="H257" s="89" t="s">
        <v>3190</v>
      </c>
    </row>
    <row r="258" spans="2:9" s="25" customFormat="1" ht="16.5" thickBot="1">
      <c r="B258" s="40">
        <f t="shared" si="3"/>
        <v>254</v>
      </c>
      <c r="C258" s="27" t="s">
        <v>2148</v>
      </c>
      <c r="D258" s="71" t="s">
        <v>210</v>
      </c>
      <c r="E258" s="27" t="s">
        <v>865</v>
      </c>
      <c r="F258" s="49"/>
      <c r="G258" s="27" t="s">
        <v>2170</v>
      </c>
      <c r="H258" s="89" t="s">
        <v>3191</v>
      </c>
    </row>
    <row r="259" spans="2:9" s="25" customFormat="1" ht="9" customHeight="1" thickBot="1">
      <c r="B259" s="23">
        <f t="shared" si="3"/>
        <v>255</v>
      </c>
      <c r="C259" s="43"/>
      <c r="D259" s="43"/>
      <c r="E259" s="43"/>
      <c r="F259" s="43"/>
      <c r="G259" s="43"/>
      <c r="H259" s="94"/>
    </row>
    <row r="260" spans="2:9" s="25" customFormat="1" ht="9" customHeight="1" thickBot="1">
      <c r="B260" s="23">
        <f t="shared" si="3"/>
        <v>256</v>
      </c>
      <c r="C260" s="37"/>
      <c r="D260" s="37"/>
      <c r="E260" s="37"/>
      <c r="F260" s="37"/>
      <c r="G260" s="38"/>
      <c r="H260" s="94"/>
    </row>
    <row r="261" spans="2:9" s="25" customFormat="1" ht="16.5" thickBot="1">
      <c r="B261" s="40">
        <f t="shared" si="3"/>
        <v>257</v>
      </c>
      <c r="C261" s="27" t="s">
        <v>2148</v>
      </c>
      <c r="D261" s="71" t="s">
        <v>230</v>
      </c>
      <c r="E261" s="27" t="s">
        <v>865</v>
      </c>
      <c r="F261" s="27" t="s">
        <v>866</v>
      </c>
      <c r="G261" s="26"/>
      <c r="H261" s="88" t="s">
        <v>2240</v>
      </c>
    </row>
    <row r="262" spans="2:9" s="25" customFormat="1" ht="16.5" thickBot="1">
      <c r="B262" s="40">
        <f t="shared" si="3"/>
        <v>258</v>
      </c>
      <c r="C262" s="27" t="s">
        <v>2148</v>
      </c>
      <c r="D262" s="71" t="s">
        <v>230</v>
      </c>
      <c r="E262" s="27" t="s">
        <v>865</v>
      </c>
      <c r="F262" s="27" t="s">
        <v>1728</v>
      </c>
      <c r="G262" s="26"/>
      <c r="H262" s="88" t="s">
        <v>3846</v>
      </c>
      <c r="I262" s="50" t="s">
        <v>2239</v>
      </c>
    </row>
    <row r="263" spans="2:9" s="25" customFormat="1" ht="16.5" thickBot="1">
      <c r="B263" s="40">
        <f t="shared" si="3"/>
        <v>259</v>
      </c>
      <c r="C263" s="27" t="s">
        <v>2148</v>
      </c>
      <c r="D263" s="71" t="s">
        <v>230</v>
      </c>
      <c r="E263" s="27" t="s">
        <v>865</v>
      </c>
      <c r="F263" s="27" t="s">
        <v>1333</v>
      </c>
      <c r="G263" s="27"/>
      <c r="H263" s="89" t="s">
        <v>2241</v>
      </c>
    </row>
    <row r="264" spans="2:9" s="25" customFormat="1" ht="16.5" thickBot="1">
      <c r="B264" s="40">
        <f t="shared" si="3"/>
        <v>260</v>
      </c>
      <c r="C264" s="27" t="s">
        <v>2148</v>
      </c>
      <c r="D264" s="71" t="s">
        <v>230</v>
      </c>
      <c r="E264" s="27" t="s">
        <v>865</v>
      </c>
      <c r="F264" s="27" t="s">
        <v>1333</v>
      </c>
      <c r="G264" s="27"/>
      <c r="H264" s="89" t="s">
        <v>2242</v>
      </c>
    </row>
    <row r="265" spans="2:9" s="25" customFormat="1" ht="16.5" thickBot="1">
      <c r="B265" s="40">
        <f t="shared" si="3"/>
        <v>261</v>
      </c>
      <c r="C265" s="27" t="s">
        <v>2148</v>
      </c>
      <c r="D265" s="71" t="s">
        <v>230</v>
      </c>
      <c r="E265" s="27" t="s">
        <v>865</v>
      </c>
      <c r="F265" s="27"/>
      <c r="G265" s="27" t="s">
        <v>3193</v>
      </c>
      <c r="H265" s="89" t="s">
        <v>3192</v>
      </c>
    </row>
    <row r="266" spans="2:9" s="25" customFormat="1" ht="9" customHeight="1" thickBot="1">
      <c r="B266" s="23">
        <f t="shared" si="3"/>
        <v>262</v>
      </c>
      <c r="C266" s="43"/>
      <c r="D266" s="43"/>
      <c r="E266" s="43"/>
      <c r="F266" s="43"/>
      <c r="G266" s="43"/>
      <c r="H266" s="94"/>
    </row>
    <row r="267" spans="2:9" s="25" customFormat="1" ht="9" customHeight="1" thickBot="1">
      <c r="B267" s="23">
        <f t="shared" ref="B267:B330" si="4">B266+1</f>
        <v>263</v>
      </c>
      <c r="C267" s="37"/>
      <c r="D267" s="37"/>
      <c r="E267" s="37"/>
      <c r="F267" s="37"/>
      <c r="G267" s="38"/>
      <c r="H267" s="94"/>
    </row>
    <row r="268" spans="2:9" s="25" customFormat="1" ht="16.5" thickBot="1">
      <c r="B268" s="40">
        <f t="shared" si="4"/>
        <v>264</v>
      </c>
      <c r="C268" s="27" t="s">
        <v>2148</v>
      </c>
      <c r="D268" s="71" t="s">
        <v>181</v>
      </c>
      <c r="E268" s="27" t="s">
        <v>865</v>
      </c>
      <c r="F268" s="27" t="s">
        <v>866</v>
      </c>
      <c r="G268" s="26"/>
      <c r="H268" s="88" t="s">
        <v>2244</v>
      </c>
    </row>
    <row r="269" spans="2:9" s="25" customFormat="1" ht="32.25" thickBot="1">
      <c r="B269" s="40">
        <f t="shared" si="4"/>
        <v>265</v>
      </c>
      <c r="C269" s="27" t="s">
        <v>2148</v>
      </c>
      <c r="D269" s="71" t="s">
        <v>181</v>
      </c>
      <c r="E269" s="27" t="s">
        <v>865</v>
      </c>
      <c r="F269" s="27" t="s">
        <v>1728</v>
      </c>
      <c r="G269" s="26"/>
      <c r="H269" s="89" t="s">
        <v>3856</v>
      </c>
      <c r="I269" s="50" t="s">
        <v>2243</v>
      </c>
    </row>
    <row r="270" spans="2:9" s="25" customFormat="1" ht="16.5" thickBot="1">
      <c r="B270" s="40">
        <f t="shared" si="4"/>
        <v>266</v>
      </c>
      <c r="C270" s="27" t="s">
        <v>2148</v>
      </c>
      <c r="D270" s="71" t="s">
        <v>181</v>
      </c>
      <c r="E270" s="27" t="s">
        <v>865</v>
      </c>
      <c r="F270" s="27" t="s">
        <v>1333</v>
      </c>
      <c r="G270" s="27" t="s">
        <v>2254</v>
      </c>
      <c r="H270" s="89" t="s">
        <v>2253</v>
      </c>
    </row>
    <row r="271" spans="2:9" s="25" customFormat="1" ht="16.5" thickBot="1">
      <c r="B271" s="40">
        <f t="shared" si="4"/>
        <v>267</v>
      </c>
      <c r="C271" s="27" t="s">
        <v>2148</v>
      </c>
      <c r="D271" s="71" t="s">
        <v>181</v>
      </c>
      <c r="E271" s="27" t="s">
        <v>865</v>
      </c>
      <c r="F271" s="27" t="s">
        <v>1333</v>
      </c>
      <c r="G271" s="27" t="s">
        <v>2252</v>
      </c>
      <c r="H271" s="89" t="s">
        <v>2251</v>
      </c>
    </row>
    <row r="272" spans="2:9" s="25" customFormat="1" ht="16.5" thickBot="1">
      <c r="B272" s="40">
        <f t="shared" si="4"/>
        <v>268</v>
      </c>
      <c r="C272" s="27" t="s">
        <v>2148</v>
      </c>
      <c r="D272" s="71" t="s">
        <v>181</v>
      </c>
      <c r="E272" s="27" t="s">
        <v>865</v>
      </c>
      <c r="F272" s="27" t="s">
        <v>1333</v>
      </c>
      <c r="G272" s="27" t="s">
        <v>2246</v>
      </c>
      <c r="H272" s="89" t="s">
        <v>2245</v>
      </c>
    </row>
    <row r="273" spans="2:9" s="25" customFormat="1" ht="16.5" thickBot="1">
      <c r="B273" s="40">
        <f t="shared" si="4"/>
        <v>269</v>
      </c>
      <c r="C273" s="27" t="s">
        <v>2148</v>
      </c>
      <c r="D273" s="71" t="s">
        <v>181</v>
      </c>
      <c r="E273" s="27" t="s">
        <v>865</v>
      </c>
      <c r="F273" s="27" t="s">
        <v>1333</v>
      </c>
      <c r="G273" s="27" t="s">
        <v>1035</v>
      </c>
      <c r="H273" s="89" t="s">
        <v>2245</v>
      </c>
    </row>
    <row r="274" spans="2:9" s="25" customFormat="1" ht="16.5" thickBot="1">
      <c r="B274" s="40">
        <f t="shared" si="4"/>
        <v>270</v>
      </c>
      <c r="C274" s="27" t="s">
        <v>2148</v>
      </c>
      <c r="D274" s="71" t="s">
        <v>181</v>
      </c>
      <c r="E274" s="27" t="s">
        <v>865</v>
      </c>
      <c r="F274" s="27" t="s">
        <v>1333</v>
      </c>
      <c r="G274" s="27" t="s">
        <v>2247</v>
      </c>
      <c r="H274" s="89" t="s">
        <v>2245</v>
      </c>
    </row>
    <row r="275" spans="2:9" s="25" customFormat="1" ht="16.5" thickBot="1">
      <c r="B275" s="40">
        <f t="shared" si="4"/>
        <v>271</v>
      </c>
      <c r="C275" s="27" t="s">
        <v>2148</v>
      </c>
      <c r="D275" s="71" t="s">
        <v>181</v>
      </c>
      <c r="E275" s="27" t="s">
        <v>865</v>
      </c>
      <c r="F275" s="27" t="s">
        <v>1333</v>
      </c>
      <c r="G275" s="27" t="s">
        <v>1809</v>
      </c>
      <c r="H275" s="89" t="s">
        <v>2248</v>
      </c>
    </row>
    <row r="276" spans="2:9" s="25" customFormat="1" ht="16.5" thickBot="1">
      <c r="B276" s="40">
        <f t="shared" si="4"/>
        <v>272</v>
      </c>
      <c r="C276" s="27" t="s">
        <v>2148</v>
      </c>
      <c r="D276" s="71" t="s">
        <v>181</v>
      </c>
      <c r="E276" s="27" t="s">
        <v>865</v>
      </c>
      <c r="F276" s="27" t="s">
        <v>1333</v>
      </c>
      <c r="G276" s="27" t="s">
        <v>1811</v>
      </c>
      <c r="H276" s="89" t="s">
        <v>2248</v>
      </c>
    </row>
    <row r="277" spans="2:9" s="25" customFormat="1" ht="16.5" thickBot="1">
      <c r="B277" s="40">
        <f t="shared" si="4"/>
        <v>273</v>
      </c>
      <c r="C277" s="27" t="s">
        <v>2148</v>
      </c>
      <c r="D277" s="71" t="s">
        <v>181</v>
      </c>
      <c r="E277" s="27" t="s">
        <v>865</v>
      </c>
      <c r="F277" s="27" t="s">
        <v>1333</v>
      </c>
      <c r="G277" s="27" t="s">
        <v>1813</v>
      </c>
      <c r="H277" s="89" t="s">
        <v>2249</v>
      </c>
    </row>
    <row r="278" spans="2:9" s="25" customFormat="1" ht="16.5" thickBot="1">
      <c r="B278" s="40">
        <f t="shared" si="4"/>
        <v>274</v>
      </c>
      <c r="C278" s="27" t="s">
        <v>2148</v>
      </c>
      <c r="D278" s="71" t="s">
        <v>181</v>
      </c>
      <c r="E278" s="27" t="s">
        <v>865</v>
      </c>
      <c r="F278" s="27" t="s">
        <v>1333</v>
      </c>
      <c r="G278" s="27" t="s">
        <v>2250</v>
      </c>
      <c r="H278" s="89" t="s">
        <v>2249</v>
      </c>
    </row>
    <row r="279" spans="2:9" s="25" customFormat="1" ht="16.5" thickBot="1">
      <c r="B279" s="40">
        <f t="shared" si="4"/>
        <v>275</v>
      </c>
      <c r="C279" s="27" t="s">
        <v>2148</v>
      </c>
      <c r="D279" s="71" t="s">
        <v>181</v>
      </c>
      <c r="E279" s="27" t="s">
        <v>865</v>
      </c>
      <c r="F279" s="27"/>
      <c r="G279" s="27" t="s">
        <v>2954</v>
      </c>
      <c r="H279" s="89" t="s">
        <v>3194</v>
      </c>
    </row>
    <row r="280" spans="2:9" s="25" customFormat="1" ht="16.5" thickBot="1">
      <c r="B280" s="40">
        <f t="shared" si="4"/>
        <v>276</v>
      </c>
      <c r="C280" s="27" t="s">
        <v>2148</v>
      </c>
      <c r="D280" s="71" t="s">
        <v>181</v>
      </c>
      <c r="E280" s="27" t="s">
        <v>865</v>
      </c>
      <c r="F280" s="27"/>
      <c r="G280" s="27" t="s">
        <v>3195</v>
      </c>
      <c r="H280" s="89" t="s">
        <v>3196</v>
      </c>
    </row>
    <row r="281" spans="2:9" s="25" customFormat="1" ht="9" customHeight="1" thickBot="1">
      <c r="B281" s="23">
        <f t="shared" si="4"/>
        <v>277</v>
      </c>
      <c r="C281" s="43"/>
      <c r="D281" s="43"/>
      <c r="E281" s="43"/>
      <c r="F281" s="43"/>
      <c r="G281" s="43"/>
      <c r="H281" s="94"/>
    </row>
    <row r="282" spans="2:9" s="25" customFormat="1" ht="9" customHeight="1" thickBot="1">
      <c r="B282" s="23">
        <f t="shared" si="4"/>
        <v>278</v>
      </c>
      <c r="C282" s="37"/>
      <c r="D282" s="37"/>
      <c r="E282" s="37"/>
      <c r="F282" s="37"/>
      <c r="G282" s="38"/>
      <c r="H282" s="94"/>
    </row>
    <row r="283" spans="2:9" s="25" customFormat="1" ht="16.5" thickBot="1">
      <c r="B283" s="40">
        <f t="shared" si="4"/>
        <v>279</v>
      </c>
      <c r="C283" s="27" t="s">
        <v>2148</v>
      </c>
      <c r="D283" s="71" t="s">
        <v>231</v>
      </c>
      <c r="E283" s="27" t="s">
        <v>865</v>
      </c>
      <c r="F283" s="27" t="s">
        <v>866</v>
      </c>
      <c r="G283" s="26"/>
      <c r="H283" s="88" t="s">
        <v>2256</v>
      </c>
    </row>
    <row r="284" spans="2:9" s="25" customFormat="1" ht="16.5" thickBot="1">
      <c r="B284" s="40">
        <f t="shared" si="4"/>
        <v>280</v>
      </c>
      <c r="C284" s="27" t="s">
        <v>2148</v>
      </c>
      <c r="D284" s="71" t="s">
        <v>231</v>
      </c>
      <c r="E284" s="27" t="s">
        <v>865</v>
      </c>
      <c r="F284" s="27" t="s">
        <v>1728</v>
      </c>
      <c r="G284" s="26"/>
      <c r="H284" s="88" t="s">
        <v>3847</v>
      </c>
      <c r="I284" s="50" t="s">
        <v>2255</v>
      </c>
    </row>
    <row r="285" spans="2:9" s="25" customFormat="1" ht="16.5" thickBot="1">
      <c r="B285" s="40">
        <f t="shared" si="4"/>
        <v>281</v>
      </c>
      <c r="C285" s="27" t="s">
        <v>2148</v>
      </c>
      <c r="D285" s="71" t="s">
        <v>231</v>
      </c>
      <c r="E285" s="27" t="s">
        <v>865</v>
      </c>
      <c r="F285" s="27" t="s">
        <v>1333</v>
      </c>
      <c r="G285" s="27"/>
      <c r="H285" s="89" t="s">
        <v>2257</v>
      </c>
    </row>
    <row r="286" spans="2:9" s="25" customFormat="1" ht="16.5" thickBot="1">
      <c r="B286" s="40">
        <f t="shared" si="4"/>
        <v>282</v>
      </c>
      <c r="C286" s="27" t="s">
        <v>2148</v>
      </c>
      <c r="D286" s="71" t="s">
        <v>231</v>
      </c>
      <c r="E286" s="27" t="s">
        <v>865</v>
      </c>
      <c r="F286" s="27" t="s">
        <v>1333</v>
      </c>
      <c r="G286" s="27"/>
      <c r="H286" s="89" t="s">
        <v>2258</v>
      </c>
    </row>
    <row r="287" spans="2:9" s="25" customFormat="1" ht="16.5" thickBot="1">
      <c r="B287" s="40">
        <f t="shared" si="4"/>
        <v>283</v>
      </c>
      <c r="C287" s="27" t="s">
        <v>2148</v>
      </c>
      <c r="D287" s="71" t="s">
        <v>231</v>
      </c>
      <c r="E287" s="27" t="s">
        <v>865</v>
      </c>
      <c r="F287" s="27"/>
      <c r="G287" s="27" t="s">
        <v>3198</v>
      </c>
      <c r="H287" s="89" t="s">
        <v>3197</v>
      </c>
    </row>
    <row r="288" spans="2:9" s="25" customFormat="1" ht="16.5" thickBot="1">
      <c r="B288" s="40">
        <f t="shared" si="4"/>
        <v>284</v>
      </c>
      <c r="C288" s="27" t="s">
        <v>2148</v>
      </c>
      <c r="D288" s="71" t="s">
        <v>231</v>
      </c>
      <c r="E288" s="27" t="s">
        <v>865</v>
      </c>
      <c r="F288" s="27"/>
      <c r="G288" s="27" t="s">
        <v>2964</v>
      </c>
      <c r="H288" s="89" t="s">
        <v>3199</v>
      </c>
    </row>
    <row r="289" spans="2:9" s="25" customFormat="1" ht="32.25" thickBot="1">
      <c r="B289" s="40">
        <f t="shared" si="4"/>
        <v>285</v>
      </c>
      <c r="C289" s="27" t="s">
        <v>2148</v>
      </c>
      <c r="D289" s="82" t="s">
        <v>231</v>
      </c>
      <c r="E289" s="27" t="s">
        <v>865</v>
      </c>
      <c r="F289" s="27"/>
      <c r="G289" s="27" t="s">
        <v>2964</v>
      </c>
      <c r="H289" s="89" t="s">
        <v>3200</v>
      </c>
    </row>
    <row r="290" spans="2:9" s="25" customFormat="1" ht="9" customHeight="1" thickBot="1">
      <c r="B290" s="23">
        <f t="shared" si="4"/>
        <v>286</v>
      </c>
      <c r="C290" s="43"/>
      <c r="D290" s="43"/>
      <c r="E290" s="43"/>
      <c r="F290" s="43"/>
      <c r="G290" s="43"/>
      <c r="H290" s="94"/>
    </row>
    <row r="291" spans="2:9" s="25" customFormat="1" ht="9" customHeight="1" thickBot="1">
      <c r="B291" s="23">
        <f t="shared" si="4"/>
        <v>287</v>
      </c>
      <c r="C291" s="37"/>
      <c r="D291" s="37"/>
      <c r="E291" s="37"/>
      <c r="F291" s="37"/>
      <c r="G291" s="38"/>
      <c r="H291" s="94"/>
    </row>
    <row r="292" spans="2:9" s="25" customFormat="1" ht="16.5" thickBot="1">
      <c r="B292" s="40">
        <f t="shared" si="4"/>
        <v>288</v>
      </c>
      <c r="C292" s="27" t="s">
        <v>2148</v>
      </c>
      <c r="D292" s="71" t="s">
        <v>232</v>
      </c>
      <c r="E292" s="27" t="s">
        <v>865</v>
      </c>
      <c r="F292" s="27" t="s">
        <v>866</v>
      </c>
      <c r="G292" s="26"/>
      <c r="H292" s="88" t="s">
        <v>2260</v>
      </c>
    </row>
    <row r="293" spans="2:9" s="25" customFormat="1" ht="16.5" thickBot="1">
      <c r="B293" s="40">
        <f t="shared" si="4"/>
        <v>289</v>
      </c>
      <c r="C293" s="27" t="s">
        <v>2148</v>
      </c>
      <c r="D293" s="71" t="s">
        <v>232</v>
      </c>
      <c r="E293" s="27" t="s">
        <v>865</v>
      </c>
      <c r="F293" s="27" t="s">
        <v>1728</v>
      </c>
      <c r="G293" s="26"/>
      <c r="H293" s="88" t="s">
        <v>3848</v>
      </c>
      <c r="I293" s="50" t="s">
        <v>2259</v>
      </c>
    </row>
    <row r="294" spans="2:9" s="25" customFormat="1" ht="16.5" thickBot="1">
      <c r="B294" s="40">
        <f t="shared" si="4"/>
        <v>290</v>
      </c>
      <c r="C294" s="27" t="s">
        <v>2148</v>
      </c>
      <c r="D294" s="71" t="s">
        <v>232</v>
      </c>
      <c r="E294" s="27" t="s">
        <v>865</v>
      </c>
      <c r="F294" s="27" t="s">
        <v>1333</v>
      </c>
      <c r="G294" s="27"/>
      <c r="H294" s="89" t="s">
        <v>2261</v>
      </c>
    </row>
    <row r="295" spans="2:9" s="25" customFormat="1" ht="16.5" thickBot="1">
      <c r="B295" s="40">
        <f t="shared" si="4"/>
        <v>291</v>
      </c>
      <c r="C295" s="27" t="s">
        <v>2148</v>
      </c>
      <c r="D295" s="71" t="s">
        <v>232</v>
      </c>
      <c r="E295" s="27" t="s">
        <v>865</v>
      </c>
      <c r="F295" s="27" t="s">
        <v>1333</v>
      </c>
      <c r="G295" s="27"/>
      <c r="H295" s="89" t="s">
        <v>2262</v>
      </c>
    </row>
    <row r="296" spans="2:9" s="25" customFormat="1" ht="16.5" thickBot="1">
      <c r="B296" s="40">
        <f t="shared" si="4"/>
        <v>292</v>
      </c>
      <c r="C296" s="27" t="s">
        <v>2148</v>
      </c>
      <c r="D296" s="71" t="s">
        <v>232</v>
      </c>
      <c r="E296" s="49" t="s">
        <v>865</v>
      </c>
      <c r="F296" s="49"/>
      <c r="G296" s="49" t="s">
        <v>3202</v>
      </c>
      <c r="H296" s="90" t="s">
        <v>3201</v>
      </c>
    </row>
    <row r="297" spans="2:9" s="25" customFormat="1" ht="9" customHeight="1" thickBot="1">
      <c r="B297" s="23">
        <f t="shared" si="4"/>
        <v>293</v>
      </c>
      <c r="C297" s="43"/>
      <c r="D297" s="43"/>
      <c r="E297" s="43"/>
      <c r="F297" s="43"/>
      <c r="G297" s="43"/>
      <c r="H297" s="96"/>
    </row>
    <row r="298" spans="2:9" s="25" customFormat="1" ht="9" customHeight="1" thickBot="1">
      <c r="B298" s="23">
        <f t="shared" si="4"/>
        <v>294</v>
      </c>
      <c r="C298" s="37"/>
      <c r="D298" s="37"/>
      <c r="E298" s="37"/>
      <c r="F298" s="37"/>
      <c r="G298" s="38"/>
      <c r="H298" s="94"/>
    </row>
    <row r="299" spans="2:9" s="25" customFormat="1" ht="16.5" thickBot="1">
      <c r="B299" s="40">
        <f t="shared" si="4"/>
        <v>295</v>
      </c>
      <c r="C299" s="27" t="s">
        <v>2148</v>
      </c>
      <c r="D299" s="71" t="s">
        <v>233</v>
      </c>
      <c r="E299" s="27" t="s">
        <v>865</v>
      </c>
      <c r="F299" s="27" t="s">
        <v>866</v>
      </c>
      <c r="G299" s="26"/>
      <c r="H299" s="88" t="s">
        <v>2265</v>
      </c>
    </row>
    <row r="300" spans="2:9" s="25" customFormat="1" ht="16.5" thickBot="1">
      <c r="B300" s="40">
        <f t="shared" si="4"/>
        <v>296</v>
      </c>
      <c r="C300" s="27" t="s">
        <v>2148</v>
      </c>
      <c r="D300" s="71" t="s">
        <v>233</v>
      </c>
      <c r="E300" s="27" t="s">
        <v>865</v>
      </c>
      <c r="F300" s="27" t="s">
        <v>1728</v>
      </c>
      <c r="G300" s="26"/>
      <c r="H300" s="88" t="s">
        <v>3849</v>
      </c>
      <c r="I300" s="50" t="s">
        <v>2263</v>
      </c>
    </row>
    <row r="301" spans="2:9" s="25" customFormat="1" ht="16.5" thickBot="1">
      <c r="B301" s="40">
        <f t="shared" si="4"/>
        <v>297</v>
      </c>
      <c r="C301" s="27" t="s">
        <v>2148</v>
      </c>
      <c r="D301" s="71" t="s">
        <v>233</v>
      </c>
      <c r="E301" s="27" t="s">
        <v>865</v>
      </c>
      <c r="F301" s="27" t="s">
        <v>1333</v>
      </c>
      <c r="G301" s="27"/>
      <c r="H301" s="89" t="s">
        <v>2264</v>
      </c>
    </row>
    <row r="302" spans="2:9" s="25" customFormat="1" ht="16.5" thickBot="1">
      <c r="B302" s="40">
        <f t="shared" si="4"/>
        <v>298</v>
      </c>
      <c r="C302" s="27" t="s">
        <v>2148</v>
      </c>
      <c r="D302" s="71" t="s">
        <v>233</v>
      </c>
      <c r="E302" s="27" t="s">
        <v>865</v>
      </c>
      <c r="F302" s="27" t="s">
        <v>1333</v>
      </c>
      <c r="G302" s="27"/>
      <c r="H302" s="89" t="s">
        <v>3850</v>
      </c>
    </row>
    <row r="303" spans="2:9" s="25" customFormat="1" ht="16.5" thickBot="1">
      <c r="B303" s="40">
        <f t="shared" si="4"/>
        <v>299</v>
      </c>
      <c r="C303" s="27" t="s">
        <v>2148</v>
      </c>
      <c r="D303" s="71" t="s">
        <v>233</v>
      </c>
      <c r="E303" s="27" t="s">
        <v>865</v>
      </c>
      <c r="F303" s="49"/>
      <c r="G303" s="49" t="s">
        <v>2964</v>
      </c>
      <c r="H303" s="90" t="s">
        <v>3203</v>
      </c>
    </row>
    <row r="304" spans="2:9" s="25" customFormat="1" ht="16.5" thickBot="1">
      <c r="B304" s="40">
        <f t="shared" si="4"/>
        <v>300</v>
      </c>
      <c r="C304" s="27" t="s">
        <v>2148</v>
      </c>
      <c r="D304" s="71" t="s">
        <v>233</v>
      </c>
      <c r="E304" s="27" t="s">
        <v>865</v>
      </c>
      <c r="F304" s="49"/>
      <c r="G304" s="49" t="s">
        <v>2995</v>
      </c>
      <c r="H304" s="95" t="s">
        <v>3204</v>
      </c>
    </row>
    <row r="305" spans="2:9" s="25" customFormat="1" ht="16.5" thickBot="1">
      <c r="B305" s="40">
        <f t="shared" si="4"/>
        <v>301</v>
      </c>
      <c r="C305" s="27" t="s">
        <v>2148</v>
      </c>
      <c r="D305" s="71" t="s">
        <v>233</v>
      </c>
      <c r="E305" s="27" t="s">
        <v>865</v>
      </c>
      <c r="F305" s="49"/>
      <c r="G305" s="49" t="s">
        <v>3206</v>
      </c>
      <c r="H305" s="95" t="s">
        <v>3205</v>
      </c>
    </row>
    <row r="306" spans="2:9" s="25" customFormat="1" ht="16.5" thickBot="1">
      <c r="B306" s="40">
        <f t="shared" si="4"/>
        <v>302</v>
      </c>
      <c r="C306" s="27" t="s">
        <v>2148</v>
      </c>
      <c r="D306" s="71" t="s">
        <v>233</v>
      </c>
      <c r="E306" s="27" t="s">
        <v>865</v>
      </c>
      <c r="F306" s="49"/>
      <c r="G306" s="49" t="s">
        <v>3208</v>
      </c>
      <c r="H306" s="95" t="s">
        <v>3207</v>
      </c>
    </row>
    <row r="307" spans="2:9" s="25" customFormat="1" ht="16.5" thickBot="1">
      <c r="B307" s="40">
        <f t="shared" si="4"/>
        <v>303</v>
      </c>
      <c r="C307" s="27" t="s">
        <v>2148</v>
      </c>
      <c r="D307" s="71" t="s">
        <v>233</v>
      </c>
      <c r="E307" s="27" t="s">
        <v>865</v>
      </c>
      <c r="F307" s="27"/>
      <c r="G307" s="49" t="s">
        <v>3210</v>
      </c>
      <c r="H307" s="95" t="s">
        <v>3209</v>
      </c>
    </row>
    <row r="308" spans="2:9" s="25" customFormat="1" ht="9" customHeight="1" thickBot="1">
      <c r="B308" s="23">
        <f t="shared" si="4"/>
        <v>304</v>
      </c>
      <c r="C308" s="43"/>
      <c r="D308" s="43"/>
      <c r="E308" s="43"/>
      <c r="F308" s="43"/>
      <c r="G308" s="43"/>
      <c r="H308" s="96"/>
    </row>
    <row r="309" spans="2:9" s="25" customFormat="1" ht="9" customHeight="1" thickBot="1">
      <c r="B309" s="23">
        <f t="shared" si="4"/>
        <v>305</v>
      </c>
      <c r="C309" s="37"/>
      <c r="D309" s="37"/>
      <c r="E309" s="37"/>
      <c r="F309" s="37"/>
      <c r="G309" s="38"/>
      <c r="H309" s="94"/>
    </row>
    <row r="310" spans="2:9" s="25" customFormat="1" ht="16.5" thickBot="1">
      <c r="B310" s="40">
        <f t="shared" si="4"/>
        <v>306</v>
      </c>
      <c r="C310" s="27" t="s">
        <v>2148</v>
      </c>
      <c r="D310" s="71" t="s">
        <v>234</v>
      </c>
      <c r="E310" s="27" t="s">
        <v>865</v>
      </c>
      <c r="F310" s="27" t="s">
        <v>866</v>
      </c>
      <c r="G310" s="26"/>
      <c r="H310" s="88" t="s">
        <v>2267</v>
      </c>
    </row>
    <row r="311" spans="2:9" s="25" customFormat="1" ht="16.5" thickBot="1">
      <c r="B311" s="40">
        <f t="shared" si="4"/>
        <v>307</v>
      </c>
      <c r="C311" s="27" t="s">
        <v>2148</v>
      </c>
      <c r="D311" s="71" t="s">
        <v>234</v>
      </c>
      <c r="E311" s="27" t="s">
        <v>865</v>
      </c>
      <c r="F311" s="27" t="s">
        <v>1728</v>
      </c>
      <c r="G311" s="26"/>
      <c r="H311" s="89" t="s">
        <v>3851</v>
      </c>
      <c r="I311" s="50" t="s">
        <v>2266</v>
      </c>
    </row>
    <row r="312" spans="2:9" s="25" customFormat="1" ht="16.5" thickBot="1">
      <c r="B312" s="40">
        <f t="shared" si="4"/>
        <v>308</v>
      </c>
      <c r="C312" s="27" t="s">
        <v>2148</v>
      </c>
      <c r="D312" s="71" t="s">
        <v>234</v>
      </c>
      <c r="E312" s="27" t="s">
        <v>865</v>
      </c>
      <c r="F312" s="27" t="s">
        <v>1333</v>
      </c>
      <c r="G312" s="27"/>
      <c r="H312" s="89" t="s">
        <v>2268</v>
      </c>
      <c r="I312" s="81"/>
    </row>
    <row r="313" spans="2:9" s="25" customFormat="1" ht="16.5" thickBot="1">
      <c r="B313" s="40">
        <f t="shared" si="4"/>
        <v>309</v>
      </c>
      <c r="C313" s="27" t="s">
        <v>2148</v>
      </c>
      <c r="D313" s="71" t="s">
        <v>234</v>
      </c>
      <c r="E313" s="27" t="s">
        <v>865</v>
      </c>
      <c r="F313" s="27" t="s">
        <v>1333</v>
      </c>
      <c r="G313" s="27"/>
      <c r="H313" s="89" t="s">
        <v>2269</v>
      </c>
      <c r="I313" s="81"/>
    </row>
    <row r="314" spans="2:9" s="25" customFormat="1" ht="9" customHeight="1" thickBot="1">
      <c r="B314" s="45">
        <f t="shared" si="4"/>
        <v>310</v>
      </c>
      <c r="C314" s="43"/>
      <c r="D314" s="43"/>
      <c r="E314" s="43"/>
      <c r="F314" s="43"/>
      <c r="G314" s="43"/>
      <c r="H314" s="94"/>
    </row>
    <row r="315" spans="2:9" s="25" customFormat="1" ht="9" customHeight="1" thickBot="1">
      <c r="B315" s="23">
        <f t="shared" si="4"/>
        <v>311</v>
      </c>
      <c r="C315" s="37"/>
      <c r="D315" s="37"/>
      <c r="E315" s="37"/>
      <c r="F315" s="37"/>
      <c r="G315" s="38"/>
      <c r="H315" s="94"/>
    </row>
    <row r="316" spans="2:9" s="25" customFormat="1" ht="16.5" thickBot="1">
      <c r="B316" s="40">
        <f t="shared" si="4"/>
        <v>312</v>
      </c>
      <c r="C316" s="27" t="s">
        <v>2148</v>
      </c>
      <c r="D316" s="71" t="s">
        <v>235</v>
      </c>
      <c r="E316" s="27" t="s">
        <v>865</v>
      </c>
      <c r="F316" s="27" t="s">
        <v>866</v>
      </c>
      <c r="G316" s="26"/>
      <c r="H316" s="88" t="s">
        <v>2271</v>
      </c>
    </row>
    <row r="317" spans="2:9" s="25" customFormat="1" ht="16.5" thickBot="1">
      <c r="B317" s="40">
        <f t="shared" si="4"/>
        <v>313</v>
      </c>
      <c r="C317" s="27" t="s">
        <v>2148</v>
      </c>
      <c r="D317" s="71" t="s">
        <v>235</v>
      </c>
      <c r="E317" s="27" t="s">
        <v>865</v>
      </c>
      <c r="F317" s="27" t="s">
        <v>1728</v>
      </c>
      <c r="G317" s="26"/>
      <c r="H317" s="88" t="s">
        <v>3852</v>
      </c>
      <c r="I317" s="50" t="s">
        <v>2270</v>
      </c>
    </row>
    <row r="318" spans="2:9" s="25" customFormat="1" ht="16.5" thickBot="1">
      <c r="B318" s="40">
        <f t="shared" si="4"/>
        <v>314</v>
      </c>
      <c r="C318" s="27" t="s">
        <v>2148</v>
      </c>
      <c r="D318" s="71" t="s">
        <v>235</v>
      </c>
      <c r="E318" s="27" t="s">
        <v>865</v>
      </c>
      <c r="F318" s="27" t="s">
        <v>1333</v>
      </c>
      <c r="G318" s="27"/>
      <c r="H318" s="89" t="s">
        <v>2272</v>
      </c>
      <c r="I318" s="81"/>
    </row>
    <row r="319" spans="2:9" s="25" customFormat="1" ht="16.5" thickBot="1">
      <c r="B319" s="40">
        <f t="shared" si="4"/>
        <v>315</v>
      </c>
      <c r="C319" s="27" t="s">
        <v>2148</v>
      </c>
      <c r="D319" s="71" t="s">
        <v>235</v>
      </c>
      <c r="E319" s="27" t="s">
        <v>865</v>
      </c>
      <c r="F319" s="27" t="s">
        <v>1333</v>
      </c>
      <c r="G319" s="27"/>
      <c r="H319" s="89" t="s">
        <v>2273</v>
      </c>
      <c r="I319" s="81"/>
    </row>
    <row r="320" spans="2:9" s="25" customFormat="1" ht="16.5" thickBot="1">
      <c r="B320" s="40">
        <f t="shared" si="4"/>
        <v>316</v>
      </c>
      <c r="C320" s="27" t="s">
        <v>2148</v>
      </c>
      <c r="D320" s="71" t="s">
        <v>235</v>
      </c>
      <c r="E320" s="27" t="s">
        <v>865</v>
      </c>
      <c r="F320" s="27"/>
      <c r="G320" s="27" t="s">
        <v>3212</v>
      </c>
      <c r="H320" s="89" t="s">
        <v>3211</v>
      </c>
    </row>
    <row r="321" spans="2:9" s="25" customFormat="1" ht="16.5" thickBot="1">
      <c r="B321" s="40">
        <f t="shared" si="4"/>
        <v>317</v>
      </c>
      <c r="C321" s="27" t="s">
        <v>2148</v>
      </c>
      <c r="D321" s="71" t="s">
        <v>235</v>
      </c>
      <c r="E321" s="49" t="s">
        <v>865</v>
      </c>
      <c r="F321" s="49"/>
      <c r="G321" s="80" t="s">
        <v>3214</v>
      </c>
      <c r="H321" s="90" t="s">
        <v>3213</v>
      </c>
    </row>
    <row r="322" spans="2:9" s="25" customFormat="1" ht="9" customHeight="1" thickBot="1">
      <c r="B322" s="45">
        <f t="shared" si="4"/>
        <v>318</v>
      </c>
      <c r="C322" s="43"/>
      <c r="D322" s="43"/>
      <c r="E322" s="43"/>
      <c r="F322" s="43"/>
      <c r="G322" s="43"/>
      <c r="H322" s="96"/>
    </row>
    <row r="323" spans="2:9" s="25" customFormat="1" ht="9" customHeight="1" thickBot="1">
      <c r="B323" s="23">
        <f t="shared" si="4"/>
        <v>319</v>
      </c>
      <c r="C323" s="37"/>
      <c r="D323" s="37"/>
      <c r="E323" s="37"/>
      <c r="F323" s="37"/>
      <c r="G323" s="38"/>
      <c r="H323" s="94"/>
    </row>
    <row r="324" spans="2:9" s="25" customFormat="1" ht="16.5" thickBot="1">
      <c r="B324" s="40">
        <f t="shared" si="4"/>
        <v>320</v>
      </c>
      <c r="C324" s="27" t="s">
        <v>2148</v>
      </c>
      <c r="D324" s="71" t="s">
        <v>425</v>
      </c>
      <c r="E324" s="27" t="s">
        <v>865</v>
      </c>
      <c r="F324" s="27" t="s">
        <v>866</v>
      </c>
      <c r="G324" s="26"/>
      <c r="H324" s="88" t="s">
        <v>2277</v>
      </c>
    </row>
    <row r="325" spans="2:9" s="25" customFormat="1" ht="16.5" thickBot="1">
      <c r="B325" s="40">
        <f t="shared" si="4"/>
        <v>321</v>
      </c>
      <c r="C325" s="27" t="s">
        <v>2148</v>
      </c>
      <c r="D325" s="71" t="s">
        <v>425</v>
      </c>
      <c r="E325" s="27" t="s">
        <v>865</v>
      </c>
      <c r="F325" s="27" t="s">
        <v>1728</v>
      </c>
      <c r="G325" s="26"/>
      <c r="H325" s="88" t="s">
        <v>3853</v>
      </c>
      <c r="I325" s="50" t="s">
        <v>2274</v>
      </c>
    </row>
    <row r="326" spans="2:9" s="25" customFormat="1" ht="16.5" thickBot="1">
      <c r="B326" s="40">
        <f t="shared" si="4"/>
        <v>322</v>
      </c>
      <c r="C326" s="27" t="s">
        <v>2148</v>
      </c>
      <c r="D326" s="71" t="s">
        <v>425</v>
      </c>
      <c r="E326" s="27" t="s">
        <v>865</v>
      </c>
      <c r="F326" s="27" t="s">
        <v>1333</v>
      </c>
      <c r="G326" s="27"/>
      <c r="H326" s="89" t="s">
        <v>2275</v>
      </c>
      <c r="I326" s="81"/>
    </row>
    <row r="327" spans="2:9" s="25" customFormat="1" ht="16.5" thickBot="1">
      <c r="B327" s="40">
        <f t="shared" si="4"/>
        <v>323</v>
      </c>
      <c r="C327" s="27" t="s">
        <v>2148</v>
      </c>
      <c r="D327" s="71" t="s">
        <v>425</v>
      </c>
      <c r="E327" s="27" t="s">
        <v>865</v>
      </c>
      <c r="F327" s="27" t="s">
        <v>1333</v>
      </c>
      <c r="G327" s="27"/>
      <c r="H327" s="89" t="s">
        <v>2276</v>
      </c>
      <c r="I327" s="81"/>
    </row>
    <row r="328" spans="2:9" s="25" customFormat="1" ht="16.5" thickBot="1">
      <c r="B328" s="40">
        <f t="shared" si="4"/>
        <v>324</v>
      </c>
      <c r="C328" s="27" t="s">
        <v>2148</v>
      </c>
      <c r="D328" s="71" t="s">
        <v>425</v>
      </c>
      <c r="E328" s="49" t="s">
        <v>865</v>
      </c>
      <c r="F328" s="49"/>
      <c r="G328" s="80" t="s">
        <v>3216</v>
      </c>
      <c r="H328" s="90" t="s">
        <v>3215</v>
      </c>
    </row>
    <row r="329" spans="2:9" s="25" customFormat="1" ht="9" customHeight="1" thickBot="1">
      <c r="B329" s="45">
        <f t="shared" si="4"/>
        <v>325</v>
      </c>
      <c r="C329" s="43"/>
      <c r="D329" s="43"/>
      <c r="E329" s="43"/>
      <c r="F329" s="43"/>
      <c r="G329" s="43"/>
      <c r="H329" s="96"/>
    </row>
    <row r="330" spans="2:9" s="25" customFormat="1" ht="9" customHeight="1" thickBot="1">
      <c r="B330" s="23">
        <f t="shared" si="4"/>
        <v>326</v>
      </c>
      <c r="C330" s="37"/>
      <c r="D330" s="37"/>
      <c r="E330" s="37"/>
      <c r="F330" s="37"/>
      <c r="G330" s="38"/>
      <c r="H330" s="94"/>
    </row>
    <row r="331" spans="2:9" s="25" customFormat="1" ht="16.5" thickBot="1">
      <c r="B331" s="40">
        <f t="shared" ref="B331:B351" si="5">B330+1</f>
        <v>327</v>
      </c>
      <c r="C331" s="27" t="s">
        <v>2148</v>
      </c>
      <c r="D331" s="71" t="s">
        <v>236</v>
      </c>
      <c r="E331" s="27" t="s">
        <v>865</v>
      </c>
      <c r="F331" s="27" t="s">
        <v>866</v>
      </c>
      <c r="G331" s="26"/>
      <c r="H331" s="88" t="s">
        <v>2279</v>
      </c>
    </row>
    <row r="332" spans="2:9" s="25" customFormat="1" ht="16.5" thickBot="1">
      <c r="B332" s="40">
        <f t="shared" si="5"/>
        <v>328</v>
      </c>
      <c r="C332" s="27" t="s">
        <v>2148</v>
      </c>
      <c r="D332" s="71" t="s">
        <v>236</v>
      </c>
      <c r="E332" s="27" t="s">
        <v>865</v>
      </c>
      <c r="F332" s="27" t="s">
        <v>1728</v>
      </c>
      <c r="G332" s="26"/>
      <c r="H332" s="88" t="s">
        <v>3854</v>
      </c>
      <c r="I332" s="50" t="s">
        <v>2278</v>
      </c>
    </row>
    <row r="333" spans="2:9" s="25" customFormat="1" ht="16.5" thickBot="1">
      <c r="B333" s="40">
        <f t="shared" si="5"/>
        <v>329</v>
      </c>
      <c r="C333" s="27" t="s">
        <v>2148</v>
      </c>
      <c r="D333" s="71" t="s">
        <v>236</v>
      </c>
      <c r="E333" s="27" t="s">
        <v>865</v>
      </c>
      <c r="F333" s="27" t="s">
        <v>1333</v>
      </c>
      <c r="G333" s="27"/>
      <c r="H333" s="89" t="s">
        <v>2280</v>
      </c>
      <c r="I333" s="81"/>
    </row>
    <row r="334" spans="2:9" s="25" customFormat="1" ht="16.5" thickBot="1">
      <c r="B334" s="40">
        <f t="shared" si="5"/>
        <v>330</v>
      </c>
      <c r="C334" s="27" t="s">
        <v>2148</v>
      </c>
      <c r="D334" s="71" t="s">
        <v>236</v>
      </c>
      <c r="E334" s="27" t="s">
        <v>865</v>
      </c>
      <c r="F334" s="27" t="s">
        <v>1333</v>
      </c>
      <c r="G334" s="27"/>
      <c r="H334" s="89" t="s">
        <v>2281</v>
      </c>
      <c r="I334" s="81"/>
    </row>
    <row r="335" spans="2:9" s="25" customFormat="1" ht="16.5" thickBot="1">
      <c r="B335" s="40">
        <f t="shared" si="5"/>
        <v>331</v>
      </c>
      <c r="C335" s="27" t="s">
        <v>2148</v>
      </c>
      <c r="D335" s="71" t="s">
        <v>236</v>
      </c>
      <c r="E335" s="27" t="s">
        <v>865</v>
      </c>
      <c r="F335" s="27"/>
      <c r="G335" s="27" t="s">
        <v>3218</v>
      </c>
      <c r="H335" s="89" t="s">
        <v>3217</v>
      </c>
      <c r="I335" s="81"/>
    </row>
    <row r="336" spans="2:9" s="25" customFormat="1" ht="16.5" thickBot="1">
      <c r="B336" s="40">
        <f t="shared" si="5"/>
        <v>332</v>
      </c>
      <c r="C336" s="27" t="s">
        <v>2148</v>
      </c>
      <c r="D336" s="71" t="s">
        <v>236</v>
      </c>
      <c r="E336" s="27" t="s">
        <v>865</v>
      </c>
      <c r="F336" s="27"/>
      <c r="G336" s="27" t="s">
        <v>3220</v>
      </c>
      <c r="H336" s="89" t="s">
        <v>3219</v>
      </c>
      <c r="I336" s="81"/>
    </row>
    <row r="337" spans="2:11" s="25" customFormat="1" ht="16.5" thickBot="1">
      <c r="B337" s="40">
        <f t="shared" si="5"/>
        <v>333</v>
      </c>
      <c r="C337" s="27" t="s">
        <v>2148</v>
      </c>
      <c r="D337" s="71" t="s">
        <v>236</v>
      </c>
      <c r="E337" s="27" t="s">
        <v>865</v>
      </c>
      <c r="F337" s="27"/>
      <c r="G337" s="27" t="s">
        <v>3222</v>
      </c>
      <c r="H337" s="89" t="s">
        <v>3221</v>
      </c>
    </row>
    <row r="338" spans="2:11" s="25" customFormat="1" ht="16.5" thickBot="1">
      <c r="B338" s="40">
        <f t="shared" si="5"/>
        <v>334</v>
      </c>
      <c r="C338" s="27" t="s">
        <v>2148</v>
      </c>
      <c r="D338" s="71" t="s">
        <v>236</v>
      </c>
      <c r="E338" s="27" t="s">
        <v>865</v>
      </c>
      <c r="F338" s="27"/>
      <c r="G338" s="27" t="s">
        <v>3195</v>
      </c>
      <c r="H338" s="89" t="s">
        <v>3223</v>
      </c>
    </row>
    <row r="339" spans="2:11" s="25" customFormat="1" ht="16.5" thickBot="1">
      <c r="B339" s="40">
        <f t="shared" si="5"/>
        <v>335</v>
      </c>
      <c r="C339" s="27" t="s">
        <v>2148</v>
      </c>
      <c r="D339" s="71" t="s">
        <v>236</v>
      </c>
      <c r="E339" s="27" t="s">
        <v>865</v>
      </c>
      <c r="F339" s="27"/>
      <c r="G339" s="27" t="s">
        <v>3225</v>
      </c>
      <c r="H339" s="89" t="s">
        <v>3224</v>
      </c>
    </row>
    <row r="340" spans="2:11" s="25" customFormat="1" ht="32.25" thickBot="1">
      <c r="B340" s="40">
        <f t="shared" si="5"/>
        <v>336</v>
      </c>
      <c r="C340" s="27" t="s">
        <v>2148</v>
      </c>
      <c r="D340" s="71" t="s">
        <v>236</v>
      </c>
      <c r="E340" s="49" t="s">
        <v>865</v>
      </c>
      <c r="F340" s="49"/>
      <c r="G340" s="80" t="s">
        <v>2282</v>
      </c>
      <c r="H340" s="90" t="s">
        <v>3226</v>
      </c>
    </row>
    <row r="341" spans="2:11" s="25" customFormat="1" ht="9" customHeight="1" thickBot="1">
      <c r="B341" s="45">
        <f t="shared" si="5"/>
        <v>337</v>
      </c>
      <c r="C341" s="43"/>
      <c r="D341" s="43"/>
      <c r="E341" s="43"/>
      <c r="F341" s="43"/>
      <c r="G341" s="43"/>
      <c r="H341" s="96"/>
    </row>
    <row r="342" spans="2:11" s="25" customFormat="1" ht="9" customHeight="1" thickBot="1">
      <c r="B342" s="23">
        <f t="shared" si="5"/>
        <v>338</v>
      </c>
      <c r="C342" s="37"/>
      <c r="D342" s="37"/>
      <c r="E342" s="37"/>
      <c r="F342" s="37"/>
      <c r="G342" s="38"/>
      <c r="H342" s="94"/>
    </row>
    <row r="343" spans="2:11" s="25" customFormat="1" ht="16.5" thickBot="1">
      <c r="B343" s="40">
        <f t="shared" si="5"/>
        <v>339</v>
      </c>
      <c r="C343" s="27" t="s">
        <v>2148</v>
      </c>
      <c r="D343" s="71" t="s">
        <v>188</v>
      </c>
      <c r="E343" s="27" t="s">
        <v>865</v>
      </c>
      <c r="F343" s="27" t="s">
        <v>866</v>
      </c>
      <c r="G343" s="26"/>
      <c r="H343" s="88" t="s">
        <v>2284</v>
      </c>
    </row>
    <row r="344" spans="2:11" s="25" customFormat="1" ht="16.5" thickBot="1">
      <c r="B344" s="40">
        <f t="shared" si="5"/>
        <v>340</v>
      </c>
      <c r="C344" s="27" t="s">
        <v>2148</v>
      </c>
      <c r="D344" s="71" t="s">
        <v>188</v>
      </c>
      <c r="E344" s="27" t="s">
        <v>865</v>
      </c>
      <c r="F344" s="27" t="s">
        <v>1728</v>
      </c>
      <c r="G344" s="26"/>
      <c r="H344" s="88" t="s">
        <v>3855</v>
      </c>
      <c r="I344" s="50" t="s">
        <v>2283</v>
      </c>
    </row>
    <row r="345" spans="2:11" s="25" customFormat="1" ht="32.25" thickBot="1">
      <c r="B345" s="40">
        <f t="shared" si="5"/>
        <v>341</v>
      </c>
      <c r="C345" s="27" t="s">
        <v>2148</v>
      </c>
      <c r="D345" s="71" t="s">
        <v>188</v>
      </c>
      <c r="E345" s="27" t="s">
        <v>865</v>
      </c>
      <c r="F345" s="27" t="s">
        <v>1333</v>
      </c>
      <c r="G345" s="27"/>
      <c r="H345" s="89" t="s">
        <v>2285</v>
      </c>
      <c r="I345" s="81"/>
    </row>
    <row r="346" spans="2:11" s="25" customFormat="1" ht="16.5" thickBot="1">
      <c r="B346" s="40">
        <f t="shared" si="5"/>
        <v>342</v>
      </c>
      <c r="C346" s="27" t="s">
        <v>2148</v>
      </c>
      <c r="D346" s="71" t="s">
        <v>188</v>
      </c>
      <c r="E346" s="27" t="s">
        <v>865</v>
      </c>
      <c r="F346" s="27" t="s">
        <v>1333</v>
      </c>
      <c r="G346" s="27"/>
      <c r="H346" s="89" t="s">
        <v>2286</v>
      </c>
      <c r="I346" s="81"/>
    </row>
    <row r="347" spans="2:11" s="25" customFormat="1" ht="16.5" thickBot="1">
      <c r="B347" s="40">
        <f t="shared" si="5"/>
        <v>343</v>
      </c>
      <c r="C347" s="27" t="s">
        <v>2148</v>
      </c>
      <c r="D347" s="71" t="s">
        <v>188</v>
      </c>
      <c r="E347" s="27" t="s">
        <v>880</v>
      </c>
      <c r="F347" s="27" t="s">
        <v>3227</v>
      </c>
      <c r="G347" s="27" t="s">
        <v>3228</v>
      </c>
      <c r="H347" s="104" t="s">
        <v>3229</v>
      </c>
      <c r="I347" s="81"/>
    </row>
    <row r="348" spans="2:11" s="25" customFormat="1" ht="16.5" thickBot="1">
      <c r="B348" s="40">
        <f t="shared" si="5"/>
        <v>344</v>
      </c>
      <c r="C348" s="27" t="s">
        <v>2148</v>
      </c>
      <c r="D348" s="71" t="s">
        <v>188</v>
      </c>
      <c r="E348" s="27" t="s">
        <v>880</v>
      </c>
      <c r="F348" s="27" t="s">
        <v>1765</v>
      </c>
      <c r="G348" s="27" t="s">
        <v>3231</v>
      </c>
      <c r="H348" s="104" t="s">
        <v>3230</v>
      </c>
    </row>
    <row r="349" spans="2:11" s="25" customFormat="1" ht="16.5" thickBot="1">
      <c r="B349" s="40">
        <f t="shared" si="5"/>
        <v>345</v>
      </c>
      <c r="C349" s="27" t="s">
        <v>2148</v>
      </c>
      <c r="D349" s="71" t="s">
        <v>188</v>
      </c>
      <c r="E349" s="27" t="s">
        <v>865</v>
      </c>
      <c r="F349" s="27"/>
      <c r="G349" s="27" t="s">
        <v>3216</v>
      </c>
      <c r="H349" s="89" t="s">
        <v>3232</v>
      </c>
    </row>
    <row r="350" spans="2:11" s="25" customFormat="1" ht="15.75">
      <c r="B350" s="40">
        <f t="shared" si="5"/>
        <v>346</v>
      </c>
      <c r="C350" s="27" t="s">
        <v>2148</v>
      </c>
      <c r="D350" s="71" t="s">
        <v>188</v>
      </c>
      <c r="E350" s="49" t="s">
        <v>865</v>
      </c>
      <c r="F350" s="49"/>
      <c r="G350" s="80" t="s">
        <v>3234</v>
      </c>
      <c r="H350" s="90" t="s">
        <v>3233</v>
      </c>
    </row>
    <row r="351" spans="2:11" s="25" customFormat="1" ht="9" customHeight="1" thickBot="1">
      <c r="B351" s="45">
        <f t="shared" si="5"/>
        <v>347</v>
      </c>
      <c r="C351" s="43"/>
      <c r="D351" s="43"/>
      <c r="E351" s="43"/>
      <c r="F351" s="43"/>
      <c r="G351" s="43"/>
      <c r="H351" s="44"/>
    </row>
    <row r="352" spans="2:11" ht="16.5" thickBot="1">
      <c r="E352" s="25"/>
      <c r="K352" s="10"/>
    </row>
    <row r="353" spans="3:13" ht="15.75" thickBot="1">
      <c r="C353" s="111" t="s">
        <v>1399</v>
      </c>
      <c r="D353" s="112"/>
      <c r="E353" t="s">
        <v>1100</v>
      </c>
      <c r="F353" s="111" t="s">
        <v>880</v>
      </c>
      <c r="G353" s="113"/>
      <c r="H353" s="113"/>
      <c r="I353" s="113"/>
      <c r="J353" s="112"/>
      <c r="K353" t="s">
        <v>1100</v>
      </c>
    </row>
    <row r="354" spans="3:13">
      <c r="C354" s="72" t="s">
        <v>187</v>
      </c>
      <c r="D354" s="73" t="s">
        <v>2287</v>
      </c>
      <c r="E354" t="s">
        <v>1100</v>
      </c>
      <c r="F354" s="72" t="s">
        <v>3002</v>
      </c>
      <c r="G354" s="76" t="s">
        <v>225</v>
      </c>
      <c r="H354" s="76" t="s">
        <v>2148</v>
      </c>
      <c r="I354" s="76" t="s">
        <v>3003</v>
      </c>
      <c r="J354" s="73" t="s">
        <v>1780</v>
      </c>
      <c r="K354" t="s">
        <v>1100</v>
      </c>
      <c r="M354" t="s">
        <v>2064</v>
      </c>
    </row>
    <row r="355" spans="3:13">
      <c r="C355" s="72" t="s">
        <v>187</v>
      </c>
      <c r="D355" s="73" t="s">
        <v>2288</v>
      </c>
      <c r="E355" t="s">
        <v>1100</v>
      </c>
      <c r="F355" s="72" t="s">
        <v>3228</v>
      </c>
      <c r="G355" s="76" t="s">
        <v>188</v>
      </c>
      <c r="H355" s="76" t="s">
        <v>2148</v>
      </c>
      <c r="I355" s="76" t="s">
        <v>3229</v>
      </c>
      <c r="J355" s="73" t="s">
        <v>3227</v>
      </c>
      <c r="K355" t="s">
        <v>1100</v>
      </c>
      <c r="M355" t="s">
        <v>2064</v>
      </c>
    </row>
    <row r="356" spans="3:13">
      <c r="C356" s="72" t="s">
        <v>187</v>
      </c>
      <c r="D356" s="73" t="s">
        <v>2289</v>
      </c>
      <c r="E356" t="s">
        <v>1100</v>
      </c>
      <c r="F356" s="72" t="s">
        <v>3231</v>
      </c>
      <c r="G356" s="76" t="s">
        <v>188</v>
      </c>
      <c r="H356" s="76" t="s">
        <v>2148</v>
      </c>
      <c r="I356" s="76" t="s">
        <v>3230</v>
      </c>
      <c r="J356" s="73" t="s">
        <v>1765</v>
      </c>
      <c r="K356" t="s">
        <v>1100</v>
      </c>
      <c r="M356" t="s">
        <v>2064</v>
      </c>
    </row>
    <row r="357" spans="3:13">
      <c r="C357" s="72" t="s">
        <v>187</v>
      </c>
      <c r="D357" s="73" t="s">
        <v>2290</v>
      </c>
      <c r="E357" t="s">
        <v>1100</v>
      </c>
      <c r="F357" s="72" t="s">
        <v>109</v>
      </c>
      <c r="G357" s="76" t="s">
        <v>219</v>
      </c>
      <c r="H357" s="76" t="s">
        <v>2148</v>
      </c>
      <c r="I357" s="76" t="s">
        <v>2169</v>
      </c>
      <c r="J357" s="73" t="s">
        <v>1814</v>
      </c>
      <c r="K357" t="s">
        <v>1100</v>
      </c>
      <c r="M357" t="s">
        <v>2064</v>
      </c>
    </row>
    <row r="358" spans="3:13">
      <c r="C358" s="72" t="s">
        <v>187</v>
      </c>
      <c r="D358" s="73" t="s">
        <v>3235</v>
      </c>
      <c r="E358" t="s">
        <v>1100</v>
      </c>
      <c r="F358" s="72" t="s">
        <v>2170</v>
      </c>
      <c r="G358" s="76" t="s">
        <v>219</v>
      </c>
      <c r="H358" s="76" t="s">
        <v>2148</v>
      </c>
      <c r="I358" s="76" t="s">
        <v>2171</v>
      </c>
      <c r="J358" s="73" t="s">
        <v>1814</v>
      </c>
      <c r="K358" t="s">
        <v>1100</v>
      </c>
      <c r="M358" t="s">
        <v>2064</v>
      </c>
    </row>
    <row r="359" spans="3:13">
      <c r="C359" s="72" t="s">
        <v>187</v>
      </c>
      <c r="D359" s="73" t="s">
        <v>3236</v>
      </c>
      <c r="E359" t="s">
        <v>1100</v>
      </c>
      <c r="F359" s="72" t="s">
        <v>2170</v>
      </c>
      <c r="G359" s="76" t="s">
        <v>219</v>
      </c>
      <c r="H359" s="76" t="s">
        <v>2148</v>
      </c>
      <c r="I359" s="76" t="s">
        <v>2172</v>
      </c>
      <c r="J359" s="73" t="s">
        <v>1814</v>
      </c>
      <c r="K359" t="s">
        <v>1100</v>
      </c>
      <c r="M359" t="s">
        <v>2064</v>
      </c>
    </row>
    <row r="360" spans="3:13">
      <c r="C360" s="72" t="s">
        <v>187</v>
      </c>
      <c r="D360" s="73" t="s">
        <v>3237</v>
      </c>
      <c r="E360" t="s">
        <v>1100</v>
      </c>
      <c r="F360" s="72" t="s">
        <v>2174</v>
      </c>
      <c r="G360" s="76" t="s">
        <v>219</v>
      </c>
      <c r="H360" s="76" t="s">
        <v>2148</v>
      </c>
      <c r="I360" s="76" t="s">
        <v>2173</v>
      </c>
      <c r="J360" s="73" t="s">
        <v>1814</v>
      </c>
      <c r="K360" t="s">
        <v>1100</v>
      </c>
      <c r="M360" t="s">
        <v>2064</v>
      </c>
    </row>
    <row r="361" spans="3:13">
      <c r="C361" s="72" t="s">
        <v>187</v>
      </c>
      <c r="D361" s="73" t="s">
        <v>3238</v>
      </c>
      <c r="E361" t="s">
        <v>1100</v>
      </c>
      <c r="F361" s="72" t="s">
        <v>2176</v>
      </c>
      <c r="G361" s="76" t="s">
        <v>219</v>
      </c>
      <c r="H361" s="76" t="s">
        <v>2148</v>
      </c>
      <c r="I361" s="76" t="s">
        <v>2175</v>
      </c>
      <c r="J361" s="73" t="s">
        <v>1814</v>
      </c>
      <c r="K361" t="s">
        <v>1100</v>
      </c>
      <c r="M361" t="s">
        <v>2064</v>
      </c>
    </row>
    <row r="362" spans="3:13">
      <c r="C362" s="72" t="s">
        <v>187</v>
      </c>
      <c r="D362" s="73" t="s">
        <v>3239</v>
      </c>
      <c r="E362" t="s">
        <v>1100</v>
      </c>
      <c r="F362" s="72" t="s">
        <v>1833</v>
      </c>
      <c r="G362" s="76" t="s">
        <v>203</v>
      </c>
      <c r="H362" s="76" t="s">
        <v>385</v>
      </c>
      <c r="I362" s="76" t="s">
        <v>1843</v>
      </c>
      <c r="J362" s="73" t="s">
        <v>1814</v>
      </c>
      <c r="K362" t="s">
        <v>1100</v>
      </c>
      <c r="M362" t="s">
        <v>2064</v>
      </c>
    </row>
    <row r="363" spans="3:13">
      <c r="C363" s="72" t="s">
        <v>187</v>
      </c>
      <c r="D363" s="73" t="s">
        <v>3240</v>
      </c>
      <c r="E363" t="s">
        <v>1100</v>
      </c>
      <c r="F363" s="72" t="s">
        <v>1842</v>
      </c>
      <c r="G363" s="76" t="s">
        <v>203</v>
      </c>
      <c r="H363" s="76" t="s">
        <v>385</v>
      </c>
      <c r="I363" s="76" t="s">
        <v>1848</v>
      </c>
      <c r="J363" s="73" t="s">
        <v>1774</v>
      </c>
      <c r="K363" t="s">
        <v>1100</v>
      </c>
      <c r="M363" t="s">
        <v>2064</v>
      </c>
    </row>
    <row r="364" spans="3:13">
      <c r="C364" s="72" t="s">
        <v>219</v>
      </c>
      <c r="D364" s="73" t="s">
        <v>2291</v>
      </c>
      <c r="E364" t="s">
        <v>1100</v>
      </c>
      <c r="F364" s="72" t="s">
        <v>1844</v>
      </c>
      <c r="G364" s="76" t="s">
        <v>203</v>
      </c>
      <c r="H364" s="76" t="s">
        <v>385</v>
      </c>
      <c r="I364" s="76" t="s">
        <v>1845</v>
      </c>
      <c r="J364" s="73" t="s">
        <v>1814</v>
      </c>
      <c r="K364" t="s">
        <v>1100</v>
      </c>
      <c r="M364" t="s">
        <v>2064</v>
      </c>
    </row>
    <row r="365" spans="3:13">
      <c r="C365" s="72" t="s">
        <v>219</v>
      </c>
      <c r="D365" s="73" t="s">
        <v>2292</v>
      </c>
      <c r="E365" t="s">
        <v>1100</v>
      </c>
      <c r="F365" s="72" t="s">
        <v>1840</v>
      </c>
      <c r="G365" s="76" t="s">
        <v>203</v>
      </c>
      <c r="H365" s="76" t="s">
        <v>385</v>
      </c>
      <c r="I365" s="76" t="s">
        <v>1846</v>
      </c>
      <c r="J365" s="73" t="s">
        <v>1774</v>
      </c>
      <c r="K365" t="s">
        <v>1100</v>
      </c>
      <c r="M365" t="s">
        <v>2064</v>
      </c>
    </row>
    <row r="366" spans="3:13">
      <c r="C366" s="72" t="s">
        <v>219</v>
      </c>
      <c r="D366" s="73" t="s">
        <v>2293</v>
      </c>
      <c r="E366" t="s">
        <v>1100</v>
      </c>
      <c r="F366" s="72" t="s">
        <v>1841</v>
      </c>
      <c r="G366" s="76" t="s">
        <v>203</v>
      </c>
      <c r="H366" s="76" t="s">
        <v>385</v>
      </c>
      <c r="I366" s="76" t="s">
        <v>1847</v>
      </c>
      <c r="J366" s="73" t="s">
        <v>1814</v>
      </c>
      <c r="K366" t="s">
        <v>1100</v>
      </c>
      <c r="M366" t="s">
        <v>2064</v>
      </c>
    </row>
    <row r="367" spans="3:13">
      <c r="C367" s="72" t="s">
        <v>219</v>
      </c>
      <c r="D367" s="73" t="s">
        <v>2294</v>
      </c>
      <c r="E367" t="s">
        <v>1100</v>
      </c>
      <c r="F367" s="72" t="s">
        <v>1855</v>
      </c>
      <c r="G367" s="76" t="s">
        <v>204</v>
      </c>
      <c r="H367" s="76" t="s">
        <v>385</v>
      </c>
      <c r="I367" s="76" t="s">
        <v>1854</v>
      </c>
      <c r="J367" s="73" t="s">
        <v>1814</v>
      </c>
      <c r="K367" t="s">
        <v>1100</v>
      </c>
      <c r="M367" t="s">
        <v>2064</v>
      </c>
    </row>
    <row r="368" spans="3:13">
      <c r="C368" s="72" t="s">
        <v>219</v>
      </c>
      <c r="D368" s="73" t="s">
        <v>2295</v>
      </c>
      <c r="E368" t="s">
        <v>1100</v>
      </c>
      <c r="F368" s="72" t="s">
        <v>1867</v>
      </c>
      <c r="G368" s="76" t="s">
        <v>205</v>
      </c>
      <c r="H368" s="76" t="s">
        <v>385</v>
      </c>
      <c r="I368" s="76" t="s">
        <v>1868</v>
      </c>
      <c r="J368" s="73" t="s">
        <v>1832</v>
      </c>
      <c r="K368" t="s">
        <v>1100</v>
      </c>
      <c r="M368" t="s">
        <v>2064</v>
      </c>
    </row>
    <row r="369" spans="3:13">
      <c r="C369" s="72" t="s">
        <v>219</v>
      </c>
      <c r="D369" s="73" t="s">
        <v>3241</v>
      </c>
      <c r="E369" t="s">
        <v>1100</v>
      </c>
      <c r="F369" s="72" t="s">
        <v>1866</v>
      </c>
      <c r="G369" s="76" t="s">
        <v>205</v>
      </c>
      <c r="H369" s="76" t="s">
        <v>385</v>
      </c>
      <c r="I369" s="76" t="s">
        <v>1865</v>
      </c>
      <c r="J369" s="73" t="s">
        <v>1814</v>
      </c>
      <c r="K369" t="s">
        <v>1100</v>
      </c>
      <c r="M369" t="s">
        <v>2064</v>
      </c>
    </row>
    <row r="370" spans="3:13">
      <c r="C370" s="72" t="s">
        <v>219</v>
      </c>
      <c r="D370" s="73" t="s">
        <v>3242</v>
      </c>
      <c r="E370" t="s">
        <v>1100</v>
      </c>
      <c r="F370" s="72" t="s">
        <v>1869</v>
      </c>
      <c r="G370" s="76" t="s">
        <v>205</v>
      </c>
      <c r="H370" s="76" t="s">
        <v>385</v>
      </c>
      <c r="I370" s="76" t="s">
        <v>1870</v>
      </c>
      <c r="J370" s="73" t="s">
        <v>1814</v>
      </c>
      <c r="K370" t="s">
        <v>1100</v>
      </c>
      <c r="M370" t="s">
        <v>2064</v>
      </c>
    </row>
    <row r="371" spans="3:13">
      <c r="C371" s="72" t="s">
        <v>219</v>
      </c>
      <c r="D371" s="73" t="s">
        <v>3243</v>
      </c>
      <c r="E371" t="s">
        <v>1100</v>
      </c>
      <c r="F371" s="72" t="s">
        <v>1857</v>
      </c>
      <c r="G371" s="76" t="s">
        <v>205</v>
      </c>
      <c r="H371" s="76" t="s">
        <v>385</v>
      </c>
      <c r="I371" s="76" t="s">
        <v>1871</v>
      </c>
      <c r="J371" s="73" t="s">
        <v>1814</v>
      </c>
      <c r="K371" t="s">
        <v>1100</v>
      </c>
      <c r="M371" t="s">
        <v>2064</v>
      </c>
    </row>
    <row r="372" spans="3:13">
      <c r="C372" s="72" t="s">
        <v>219</v>
      </c>
      <c r="D372" s="73" t="s">
        <v>3244</v>
      </c>
      <c r="E372" t="s">
        <v>1100</v>
      </c>
      <c r="F372" s="72" t="s">
        <v>1872</v>
      </c>
      <c r="G372" s="76" t="s">
        <v>205</v>
      </c>
      <c r="H372" s="76" t="s">
        <v>385</v>
      </c>
      <c r="I372" s="76" t="s">
        <v>1873</v>
      </c>
      <c r="J372" s="73" t="s">
        <v>1780</v>
      </c>
      <c r="K372" t="s">
        <v>1100</v>
      </c>
      <c r="M372" t="s">
        <v>2064</v>
      </c>
    </row>
    <row r="373" spans="3:13">
      <c r="C373" s="72" t="s">
        <v>219</v>
      </c>
      <c r="D373" s="73" t="s">
        <v>3245</v>
      </c>
      <c r="E373" t="s">
        <v>1100</v>
      </c>
      <c r="F373" s="72" t="s">
        <v>1878</v>
      </c>
      <c r="G373" s="76" t="s">
        <v>206</v>
      </c>
      <c r="H373" s="76" t="s">
        <v>385</v>
      </c>
      <c r="I373" s="76" t="s">
        <v>1890</v>
      </c>
      <c r="J373" s="73" t="s">
        <v>1814</v>
      </c>
      <c r="K373" t="s">
        <v>1100</v>
      </c>
      <c r="M373" t="s">
        <v>2064</v>
      </c>
    </row>
    <row r="374" spans="3:13">
      <c r="C374" s="72" t="s">
        <v>219</v>
      </c>
      <c r="D374" s="73" t="s">
        <v>3246</v>
      </c>
      <c r="E374" t="s">
        <v>1100</v>
      </c>
      <c r="F374" s="72" t="s">
        <v>1879</v>
      </c>
      <c r="G374" s="76" t="s">
        <v>206</v>
      </c>
      <c r="H374" s="76" t="s">
        <v>385</v>
      </c>
      <c r="I374" s="76" t="s">
        <v>1891</v>
      </c>
      <c r="J374" s="73" t="s">
        <v>1814</v>
      </c>
      <c r="K374" t="s">
        <v>1100</v>
      </c>
      <c r="M374" t="s">
        <v>2064</v>
      </c>
    </row>
    <row r="375" spans="3:13">
      <c r="C375" s="72" t="s">
        <v>219</v>
      </c>
      <c r="D375" s="73" t="s">
        <v>3247</v>
      </c>
      <c r="E375" t="s">
        <v>1100</v>
      </c>
      <c r="F375" s="72" t="s">
        <v>1880</v>
      </c>
      <c r="G375" s="76" t="s">
        <v>206</v>
      </c>
      <c r="H375" s="76" t="s">
        <v>385</v>
      </c>
      <c r="I375" s="76" t="s">
        <v>1892</v>
      </c>
      <c r="J375" s="73" t="s">
        <v>1814</v>
      </c>
      <c r="K375" t="s">
        <v>1100</v>
      </c>
      <c r="M375" t="s">
        <v>2064</v>
      </c>
    </row>
    <row r="376" spans="3:13">
      <c r="C376" s="72" t="s">
        <v>219</v>
      </c>
      <c r="D376" s="73" t="s">
        <v>3248</v>
      </c>
      <c r="E376" t="s">
        <v>1100</v>
      </c>
      <c r="F376" s="72" t="s">
        <v>1881</v>
      </c>
      <c r="G376" s="76" t="s">
        <v>206</v>
      </c>
      <c r="H376" s="76" t="s">
        <v>385</v>
      </c>
      <c r="I376" s="76" t="s">
        <v>1893</v>
      </c>
      <c r="J376" s="73" t="s">
        <v>1814</v>
      </c>
      <c r="K376" t="s">
        <v>1100</v>
      </c>
      <c r="M376" t="s">
        <v>2064</v>
      </c>
    </row>
    <row r="377" spans="3:13">
      <c r="C377" s="72" t="s">
        <v>170</v>
      </c>
      <c r="D377" s="73" t="s">
        <v>2296</v>
      </c>
      <c r="E377" t="s">
        <v>1100</v>
      </c>
      <c r="F377" s="72" t="s">
        <v>1882</v>
      </c>
      <c r="G377" s="76" t="s">
        <v>206</v>
      </c>
      <c r="H377" s="76" t="s">
        <v>385</v>
      </c>
      <c r="I377" s="76" t="s">
        <v>1894</v>
      </c>
      <c r="J377" s="73" t="s">
        <v>1814</v>
      </c>
      <c r="K377" t="s">
        <v>1100</v>
      </c>
      <c r="M377" t="s">
        <v>2064</v>
      </c>
    </row>
    <row r="378" spans="3:13">
      <c r="C378" s="72" t="s">
        <v>170</v>
      </c>
      <c r="D378" s="73" t="s">
        <v>2297</v>
      </c>
      <c r="E378" t="s">
        <v>1100</v>
      </c>
      <c r="F378" s="72" t="s">
        <v>1883</v>
      </c>
      <c r="G378" s="76" t="s">
        <v>206</v>
      </c>
      <c r="H378" s="76" t="s">
        <v>385</v>
      </c>
      <c r="I378" s="76" t="s">
        <v>1895</v>
      </c>
      <c r="J378" s="73" t="s">
        <v>1814</v>
      </c>
      <c r="K378" t="s">
        <v>1100</v>
      </c>
      <c r="M378" t="s">
        <v>2064</v>
      </c>
    </row>
    <row r="379" spans="3:13">
      <c r="C379" s="72" t="s">
        <v>170</v>
      </c>
      <c r="D379" s="73" t="s">
        <v>2298</v>
      </c>
      <c r="E379" t="s">
        <v>1100</v>
      </c>
      <c r="F379" s="72" t="s">
        <v>1884</v>
      </c>
      <c r="G379" s="76" t="s">
        <v>206</v>
      </c>
      <c r="H379" s="76" t="s">
        <v>385</v>
      </c>
      <c r="I379" s="76" t="s">
        <v>1896</v>
      </c>
      <c r="J379" s="73" t="s">
        <v>1814</v>
      </c>
      <c r="K379" t="s">
        <v>1100</v>
      </c>
      <c r="M379" t="s">
        <v>2064</v>
      </c>
    </row>
    <row r="380" spans="3:13">
      <c r="C380" s="72" t="s">
        <v>170</v>
      </c>
      <c r="D380" s="73" t="s">
        <v>2299</v>
      </c>
      <c r="E380" t="s">
        <v>1100</v>
      </c>
      <c r="F380" s="72" t="s">
        <v>1885</v>
      </c>
      <c r="G380" s="76" t="s">
        <v>206</v>
      </c>
      <c r="H380" s="76" t="s">
        <v>385</v>
      </c>
      <c r="I380" s="76" t="s">
        <v>1897</v>
      </c>
      <c r="J380" s="73" t="s">
        <v>1774</v>
      </c>
      <c r="K380" t="s">
        <v>1100</v>
      </c>
      <c r="M380" t="s">
        <v>2064</v>
      </c>
    </row>
    <row r="381" spans="3:13">
      <c r="C381" s="72" t="s">
        <v>170</v>
      </c>
      <c r="D381" s="73" t="s">
        <v>2300</v>
      </c>
      <c r="E381" t="s">
        <v>1100</v>
      </c>
      <c r="F381" s="72" t="s">
        <v>1899</v>
      </c>
      <c r="G381" s="76" t="s">
        <v>206</v>
      </c>
      <c r="H381" s="76" t="s">
        <v>385</v>
      </c>
      <c r="I381" s="76" t="s">
        <v>1900</v>
      </c>
      <c r="J381" s="73" t="s">
        <v>1774</v>
      </c>
      <c r="K381" t="s">
        <v>1100</v>
      </c>
      <c r="M381" t="s">
        <v>2064</v>
      </c>
    </row>
    <row r="382" spans="3:13">
      <c r="C382" s="72" t="s">
        <v>170</v>
      </c>
      <c r="D382" s="73" t="s">
        <v>2301</v>
      </c>
      <c r="E382" t="s">
        <v>1100</v>
      </c>
      <c r="F382" s="72" t="s">
        <v>1876</v>
      </c>
      <c r="G382" s="76" t="s">
        <v>206</v>
      </c>
      <c r="H382" s="76" t="s">
        <v>385</v>
      </c>
      <c r="I382" s="76" t="s">
        <v>1901</v>
      </c>
      <c r="J382" s="73" t="s">
        <v>1774</v>
      </c>
      <c r="K382" t="s">
        <v>1100</v>
      </c>
      <c r="M382" t="s">
        <v>2064</v>
      </c>
    </row>
    <row r="383" spans="3:13">
      <c r="C383" s="72" t="s">
        <v>170</v>
      </c>
      <c r="D383" s="73" t="s">
        <v>2302</v>
      </c>
      <c r="E383" t="s">
        <v>1100</v>
      </c>
      <c r="F383" s="72" t="s">
        <v>1886</v>
      </c>
      <c r="G383" s="76" t="s">
        <v>206</v>
      </c>
      <c r="H383" s="76" t="s">
        <v>385</v>
      </c>
      <c r="I383" s="76" t="s">
        <v>1898</v>
      </c>
      <c r="J383" s="73" t="s">
        <v>1774</v>
      </c>
      <c r="K383" t="s">
        <v>1100</v>
      </c>
      <c r="M383" t="s">
        <v>2064</v>
      </c>
    </row>
    <row r="384" spans="3:13">
      <c r="C384" s="72" t="s">
        <v>170</v>
      </c>
      <c r="D384" s="73" t="s">
        <v>3249</v>
      </c>
      <c r="E384" t="s">
        <v>1100</v>
      </c>
      <c r="F384" s="72" t="s">
        <v>1887</v>
      </c>
      <c r="G384" s="76" t="s">
        <v>206</v>
      </c>
      <c r="H384" s="76" t="s">
        <v>385</v>
      </c>
      <c r="I384" s="76" t="s">
        <v>1898</v>
      </c>
      <c r="J384" s="73" t="s">
        <v>1774</v>
      </c>
      <c r="K384" t="s">
        <v>1100</v>
      </c>
      <c r="M384" t="s">
        <v>2064</v>
      </c>
    </row>
    <row r="385" spans="3:13">
      <c r="C385" s="72" t="s">
        <v>170</v>
      </c>
      <c r="D385" s="73" t="s">
        <v>3250</v>
      </c>
      <c r="E385" t="s">
        <v>1100</v>
      </c>
      <c r="F385" s="72" t="s">
        <v>1888</v>
      </c>
      <c r="G385" s="76" t="s">
        <v>206</v>
      </c>
      <c r="H385" s="76" t="s">
        <v>385</v>
      </c>
      <c r="I385" s="76" t="s">
        <v>1889</v>
      </c>
      <c r="J385" s="73" t="s">
        <v>1780</v>
      </c>
      <c r="K385" t="s">
        <v>1100</v>
      </c>
      <c r="M385" t="s">
        <v>2064</v>
      </c>
    </row>
    <row r="386" spans="3:13">
      <c r="C386" s="72" t="s">
        <v>170</v>
      </c>
      <c r="D386" s="73" t="s">
        <v>3251</v>
      </c>
      <c r="E386" t="s">
        <v>1100</v>
      </c>
      <c r="F386" s="72" t="s">
        <v>1909</v>
      </c>
      <c r="G386" s="76" t="s">
        <v>207</v>
      </c>
      <c r="H386" s="76" t="s">
        <v>385</v>
      </c>
      <c r="I386" s="76" t="s">
        <v>1908</v>
      </c>
      <c r="J386" s="73" t="s">
        <v>1832</v>
      </c>
      <c r="K386" t="s">
        <v>1100</v>
      </c>
      <c r="M386" t="s">
        <v>2064</v>
      </c>
    </row>
    <row r="387" spans="3:13">
      <c r="C387" s="72" t="s">
        <v>170</v>
      </c>
      <c r="D387" s="73" t="s">
        <v>3252</v>
      </c>
      <c r="E387" t="s">
        <v>1100</v>
      </c>
      <c r="F387" s="72" t="s">
        <v>1911</v>
      </c>
      <c r="G387" s="76" t="s">
        <v>207</v>
      </c>
      <c r="H387" s="76" t="s">
        <v>385</v>
      </c>
      <c r="I387" s="76" t="s">
        <v>1910</v>
      </c>
      <c r="J387" s="73" t="s">
        <v>1814</v>
      </c>
      <c r="K387" t="s">
        <v>1100</v>
      </c>
      <c r="M387" t="s">
        <v>2064</v>
      </c>
    </row>
    <row r="388" spans="3:13">
      <c r="C388" s="72" t="s">
        <v>170</v>
      </c>
      <c r="D388" s="73" t="s">
        <v>3253</v>
      </c>
      <c r="E388" t="s">
        <v>1100</v>
      </c>
      <c r="F388" s="72" t="s">
        <v>1913</v>
      </c>
      <c r="G388" s="76" t="s">
        <v>207</v>
      </c>
      <c r="H388" s="76" t="s">
        <v>385</v>
      </c>
      <c r="I388" s="76" t="s">
        <v>1912</v>
      </c>
      <c r="J388" s="73" t="s">
        <v>1814</v>
      </c>
      <c r="K388" t="s">
        <v>1100</v>
      </c>
      <c r="M388" t="s">
        <v>2064</v>
      </c>
    </row>
    <row r="389" spans="3:13">
      <c r="C389" s="72" t="s">
        <v>220</v>
      </c>
      <c r="D389" s="73" t="s">
        <v>2303</v>
      </c>
      <c r="E389" t="s">
        <v>1100</v>
      </c>
      <c r="F389" s="72" t="s">
        <v>1915</v>
      </c>
      <c r="G389" s="76" t="s">
        <v>207</v>
      </c>
      <c r="H389" s="76" t="s">
        <v>385</v>
      </c>
      <c r="I389" s="76" t="s">
        <v>1914</v>
      </c>
      <c r="J389" s="73" t="s">
        <v>1832</v>
      </c>
      <c r="K389" t="s">
        <v>1100</v>
      </c>
      <c r="M389" t="s">
        <v>2064</v>
      </c>
    </row>
    <row r="390" spans="3:13">
      <c r="C390" s="72" t="s">
        <v>220</v>
      </c>
      <c r="D390" s="73" t="s">
        <v>2304</v>
      </c>
      <c r="E390" t="s">
        <v>1100</v>
      </c>
      <c r="F390" s="72" t="s">
        <v>1917</v>
      </c>
      <c r="G390" s="76" t="s">
        <v>207</v>
      </c>
      <c r="H390" s="76" t="s">
        <v>385</v>
      </c>
      <c r="I390" s="76" t="s">
        <v>1916</v>
      </c>
      <c r="J390" s="73" t="s">
        <v>1814</v>
      </c>
      <c r="K390" t="s">
        <v>1100</v>
      </c>
      <c r="M390" t="s">
        <v>2064</v>
      </c>
    </row>
    <row r="391" spans="3:13">
      <c r="C391" s="72" t="s">
        <v>220</v>
      </c>
      <c r="D391" s="73" t="s">
        <v>2305</v>
      </c>
      <c r="E391" t="s">
        <v>1100</v>
      </c>
      <c r="F391" s="72" t="s">
        <v>1907</v>
      </c>
      <c r="G391" s="76" t="s">
        <v>207</v>
      </c>
      <c r="H391" s="76" t="s">
        <v>385</v>
      </c>
      <c r="I391" s="76" t="s">
        <v>2145</v>
      </c>
      <c r="J391" s="73" t="s">
        <v>1814</v>
      </c>
      <c r="K391" t="s">
        <v>1100</v>
      </c>
      <c r="M391" t="s">
        <v>2064</v>
      </c>
    </row>
    <row r="392" spans="3:13">
      <c r="C392" s="72" t="s">
        <v>220</v>
      </c>
      <c r="D392" s="73" t="s">
        <v>2306</v>
      </c>
      <c r="E392" t="s">
        <v>1100</v>
      </c>
      <c r="F392" s="72" t="s">
        <v>1926</v>
      </c>
      <c r="G392" s="76" t="s">
        <v>208</v>
      </c>
      <c r="H392" s="76" t="s">
        <v>385</v>
      </c>
      <c r="I392" s="76" t="s">
        <v>1925</v>
      </c>
      <c r="J392" s="73" t="s">
        <v>1814</v>
      </c>
      <c r="K392" t="s">
        <v>1100</v>
      </c>
      <c r="M392" t="s">
        <v>2064</v>
      </c>
    </row>
    <row r="393" spans="3:13">
      <c r="C393" s="72" t="s">
        <v>220</v>
      </c>
      <c r="D393" s="73" t="s">
        <v>3254</v>
      </c>
      <c r="E393" t="s">
        <v>1100</v>
      </c>
      <c r="F393" s="72" t="s">
        <v>1927</v>
      </c>
      <c r="G393" s="76" t="s">
        <v>208</v>
      </c>
      <c r="H393" s="76" t="s">
        <v>385</v>
      </c>
      <c r="I393" s="76" t="s">
        <v>1924</v>
      </c>
      <c r="J393" s="73" t="s">
        <v>1814</v>
      </c>
      <c r="K393" t="s">
        <v>1100</v>
      </c>
      <c r="M393" t="s">
        <v>2064</v>
      </c>
    </row>
    <row r="394" spans="3:13">
      <c r="C394" s="72" t="s">
        <v>221</v>
      </c>
      <c r="D394" s="73" t="s">
        <v>2307</v>
      </c>
      <c r="E394" t="s">
        <v>1100</v>
      </c>
      <c r="F394" s="72" t="s">
        <v>1923</v>
      </c>
      <c r="G394" s="76" t="s">
        <v>208</v>
      </c>
      <c r="H394" s="76" t="s">
        <v>385</v>
      </c>
      <c r="I394" s="76" t="s">
        <v>1924</v>
      </c>
      <c r="J394" s="73" t="s">
        <v>1832</v>
      </c>
      <c r="K394" t="s">
        <v>1100</v>
      </c>
      <c r="M394" t="s">
        <v>2064</v>
      </c>
    </row>
    <row r="395" spans="3:13">
      <c r="C395" s="72" t="s">
        <v>221</v>
      </c>
      <c r="D395" s="73" t="s">
        <v>2308</v>
      </c>
      <c r="E395" t="s">
        <v>1100</v>
      </c>
      <c r="F395" s="72" t="s">
        <v>1929</v>
      </c>
      <c r="G395" s="76" t="s">
        <v>208</v>
      </c>
      <c r="H395" s="76" t="s">
        <v>385</v>
      </c>
      <c r="I395" s="76" t="s">
        <v>1928</v>
      </c>
      <c r="J395" s="73" t="s">
        <v>1814</v>
      </c>
      <c r="K395" t="s">
        <v>1100</v>
      </c>
      <c r="M395" t="s">
        <v>2064</v>
      </c>
    </row>
    <row r="396" spans="3:13">
      <c r="C396" s="72" t="s">
        <v>221</v>
      </c>
      <c r="D396" s="73" t="s">
        <v>2309</v>
      </c>
      <c r="E396" t="s">
        <v>1100</v>
      </c>
      <c r="F396" s="72" t="s">
        <v>1930</v>
      </c>
      <c r="G396" s="76" t="s">
        <v>208</v>
      </c>
      <c r="H396" s="76" t="s">
        <v>385</v>
      </c>
      <c r="I396" s="76" t="s">
        <v>1922</v>
      </c>
      <c r="J396" s="73" t="s">
        <v>1822</v>
      </c>
      <c r="K396" t="s">
        <v>1100</v>
      </c>
      <c r="M396" t="s">
        <v>2064</v>
      </c>
    </row>
    <row r="397" spans="3:13">
      <c r="C397" s="72" t="s">
        <v>221</v>
      </c>
      <c r="D397" s="73" t="s">
        <v>2310</v>
      </c>
      <c r="E397" t="s">
        <v>1100</v>
      </c>
      <c r="F397" s="72" t="s">
        <v>1931</v>
      </c>
      <c r="G397" s="76" t="s">
        <v>208</v>
      </c>
      <c r="H397" s="76" t="s">
        <v>385</v>
      </c>
      <c r="I397" s="76" t="s">
        <v>1932</v>
      </c>
      <c r="J397" s="73" t="s">
        <v>1814</v>
      </c>
      <c r="K397" t="s">
        <v>1100</v>
      </c>
      <c r="M397" t="s">
        <v>2064</v>
      </c>
    </row>
    <row r="398" spans="3:13">
      <c r="C398" s="72" t="s">
        <v>221</v>
      </c>
      <c r="D398" s="73" t="s">
        <v>3255</v>
      </c>
      <c r="E398" t="s">
        <v>1100</v>
      </c>
      <c r="F398" s="72" t="s">
        <v>1937</v>
      </c>
      <c r="G398" s="76" t="s">
        <v>209</v>
      </c>
      <c r="H398" s="76" t="s">
        <v>385</v>
      </c>
      <c r="I398" s="76" t="s">
        <v>1936</v>
      </c>
      <c r="J398" s="73" t="s">
        <v>1774</v>
      </c>
      <c r="K398" t="s">
        <v>1100</v>
      </c>
      <c r="M398" t="s">
        <v>2064</v>
      </c>
    </row>
    <row r="399" spans="3:13">
      <c r="C399" s="72" t="s">
        <v>221</v>
      </c>
      <c r="D399" s="73" t="s">
        <v>3256</v>
      </c>
      <c r="E399" t="s">
        <v>1100</v>
      </c>
      <c r="F399" s="72" t="s">
        <v>1938</v>
      </c>
      <c r="G399" s="76" t="s">
        <v>209</v>
      </c>
      <c r="H399" s="76" t="s">
        <v>385</v>
      </c>
      <c r="I399" s="76" t="s">
        <v>1941</v>
      </c>
      <c r="J399" s="73" t="s">
        <v>1832</v>
      </c>
      <c r="K399" t="s">
        <v>1100</v>
      </c>
      <c r="M399" t="s">
        <v>2064</v>
      </c>
    </row>
    <row r="400" spans="3:13">
      <c r="C400" s="72" t="s">
        <v>221</v>
      </c>
      <c r="D400" s="73" t="s">
        <v>3257</v>
      </c>
      <c r="E400" t="s">
        <v>1100</v>
      </c>
      <c r="F400" s="72" t="s">
        <v>1940</v>
      </c>
      <c r="G400" s="76" t="s">
        <v>209</v>
      </c>
      <c r="H400" s="76" t="s">
        <v>385</v>
      </c>
      <c r="I400" s="76" t="s">
        <v>1939</v>
      </c>
      <c r="J400" s="73" t="s">
        <v>1814</v>
      </c>
      <c r="K400" t="s">
        <v>1100</v>
      </c>
      <c r="L400" t="s">
        <v>225</v>
      </c>
      <c r="M400" t="s">
        <v>2328</v>
      </c>
    </row>
    <row r="401" spans="3:13">
      <c r="C401" s="72" t="s">
        <v>221</v>
      </c>
      <c r="D401" s="73" t="s">
        <v>3258</v>
      </c>
      <c r="E401" t="s">
        <v>1100</v>
      </c>
      <c r="F401" s="72" t="s">
        <v>1951</v>
      </c>
      <c r="G401" s="76" t="s">
        <v>210</v>
      </c>
      <c r="H401" s="76" t="s">
        <v>385</v>
      </c>
      <c r="I401" s="76" t="s">
        <v>1950</v>
      </c>
      <c r="J401" s="73" t="s">
        <v>1814</v>
      </c>
      <c r="K401" t="s">
        <v>1100</v>
      </c>
      <c r="L401" t="s">
        <v>225</v>
      </c>
      <c r="M401" t="s">
        <v>2329</v>
      </c>
    </row>
    <row r="402" spans="3:13">
      <c r="C402" s="72" t="s">
        <v>221</v>
      </c>
      <c r="D402" s="73" t="s">
        <v>3259</v>
      </c>
      <c r="E402" t="s">
        <v>1100</v>
      </c>
      <c r="F402" s="72" t="s">
        <v>1953</v>
      </c>
      <c r="G402" s="76" t="s">
        <v>210</v>
      </c>
      <c r="H402" s="76" t="s">
        <v>385</v>
      </c>
      <c r="I402" s="76" t="s">
        <v>1952</v>
      </c>
      <c r="J402" s="73" t="s">
        <v>1814</v>
      </c>
      <c r="K402" t="s">
        <v>1100</v>
      </c>
      <c r="M402" t="s">
        <v>2064</v>
      </c>
    </row>
    <row r="403" spans="3:13">
      <c r="C403" s="72" t="s">
        <v>221</v>
      </c>
      <c r="D403" s="73" t="s">
        <v>3260</v>
      </c>
      <c r="E403" t="s">
        <v>1100</v>
      </c>
      <c r="F403" s="72" t="s">
        <v>1955</v>
      </c>
      <c r="G403" s="76" t="s">
        <v>210</v>
      </c>
      <c r="H403" s="76" t="s">
        <v>385</v>
      </c>
      <c r="I403" s="76" t="s">
        <v>1954</v>
      </c>
      <c r="J403" s="73" t="s">
        <v>1814</v>
      </c>
      <c r="K403" t="s">
        <v>1100</v>
      </c>
      <c r="M403" t="s">
        <v>2064</v>
      </c>
    </row>
    <row r="404" spans="3:13">
      <c r="C404" s="72" t="s">
        <v>221</v>
      </c>
      <c r="D404" s="73" t="s">
        <v>3261</v>
      </c>
      <c r="E404" t="s">
        <v>1100</v>
      </c>
      <c r="F404" s="72" t="s">
        <v>1956</v>
      </c>
      <c r="G404" s="76" t="s">
        <v>210</v>
      </c>
      <c r="H404" s="76" t="s">
        <v>385</v>
      </c>
      <c r="I404" s="76" t="s">
        <v>1957</v>
      </c>
      <c r="J404" s="73" t="s">
        <v>1766</v>
      </c>
      <c r="K404" t="s">
        <v>1100</v>
      </c>
      <c r="L404" t="s">
        <v>226</v>
      </c>
      <c r="M404" t="s">
        <v>2340</v>
      </c>
    </row>
    <row r="405" spans="3:13">
      <c r="C405" s="72" t="s">
        <v>221</v>
      </c>
      <c r="D405" s="73" t="s">
        <v>3262</v>
      </c>
      <c r="E405" t="s">
        <v>1100</v>
      </c>
      <c r="F405" s="72" t="s">
        <v>1958</v>
      </c>
      <c r="G405" s="76" t="s">
        <v>210</v>
      </c>
      <c r="H405" s="76" t="s">
        <v>385</v>
      </c>
      <c r="I405" s="76" t="s">
        <v>1957</v>
      </c>
      <c r="J405" s="73" t="s">
        <v>1814</v>
      </c>
      <c r="K405" t="s">
        <v>1100</v>
      </c>
      <c r="L405" t="s">
        <v>226</v>
      </c>
      <c r="M405" t="s">
        <v>2341</v>
      </c>
    </row>
    <row r="406" spans="3:13">
      <c r="C406" s="72" t="s">
        <v>222</v>
      </c>
      <c r="D406" s="73" t="s">
        <v>2311</v>
      </c>
      <c r="E406" t="s">
        <v>1100</v>
      </c>
      <c r="F406" s="72" t="s">
        <v>1960</v>
      </c>
      <c r="G406" s="76" t="s">
        <v>210</v>
      </c>
      <c r="H406" s="76" t="s">
        <v>385</v>
      </c>
      <c r="I406" s="76" t="s">
        <v>1959</v>
      </c>
      <c r="J406" s="73" t="s">
        <v>1774</v>
      </c>
      <c r="K406" t="s">
        <v>1100</v>
      </c>
      <c r="L406" t="s">
        <v>226</v>
      </c>
      <c r="M406" t="s">
        <v>2342</v>
      </c>
    </row>
    <row r="407" spans="3:13">
      <c r="C407" s="72" t="s">
        <v>222</v>
      </c>
      <c r="D407" s="73" t="s">
        <v>2312</v>
      </c>
      <c r="E407" t="s">
        <v>1100</v>
      </c>
      <c r="F407" s="72" t="s">
        <v>1962</v>
      </c>
      <c r="G407" s="76" t="s">
        <v>210</v>
      </c>
      <c r="H407" s="76" t="s">
        <v>385</v>
      </c>
      <c r="I407" s="76" t="s">
        <v>1961</v>
      </c>
      <c r="J407" s="73" t="s">
        <v>1814</v>
      </c>
      <c r="K407" t="s">
        <v>1100</v>
      </c>
      <c r="L407" t="s">
        <v>226</v>
      </c>
      <c r="M407" t="s">
        <v>2343</v>
      </c>
    </row>
    <row r="408" spans="3:13">
      <c r="C408" s="72" t="s">
        <v>222</v>
      </c>
      <c r="D408" s="73" t="s">
        <v>2313</v>
      </c>
      <c r="E408" t="s">
        <v>1100</v>
      </c>
      <c r="F408" s="72" t="s">
        <v>1963</v>
      </c>
      <c r="G408" s="76" t="s">
        <v>210</v>
      </c>
      <c r="H408" s="76" t="s">
        <v>385</v>
      </c>
      <c r="I408" s="76" t="s">
        <v>1964</v>
      </c>
      <c r="J408" s="73" t="s">
        <v>1814</v>
      </c>
      <c r="K408" t="s">
        <v>1100</v>
      </c>
      <c r="L408" t="s">
        <v>226</v>
      </c>
      <c r="M408" t="s">
        <v>2344</v>
      </c>
    </row>
    <row r="409" spans="3:13">
      <c r="C409" s="72" t="s">
        <v>222</v>
      </c>
      <c r="D409" s="73" t="s">
        <v>2313</v>
      </c>
      <c r="E409" t="s">
        <v>1100</v>
      </c>
      <c r="F409" s="72" t="s">
        <v>1965</v>
      </c>
      <c r="G409" s="76" t="s">
        <v>210</v>
      </c>
      <c r="H409" s="76" t="s">
        <v>385</v>
      </c>
      <c r="I409" s="76" t="s">
        <v>1964</v>
      </c>
      <c r="J409" s="73" t="s">
        <v>1814</v>
      </c>
      <c r="K409" t="s">
        <v>1100</v>
      </c>
      <c r="L409" t="s">
        <v>226</v>
      </c>
      <c r="M409" t="s">
        <v>2345</v>
      </c>
    </row>
    <row r="410" spans="3:13">
      <c r="C410" s="72" t="s">
        <v>222</v>
      </c>
      <c r="D410" s="73" t="s">
        <v>2314</v>
      </c>
      <c r="E410" t="s">
        <v>1100</v>
      </c>
      <c r="F410" s="72" t="s">
        <v>1967</v>
      </c>
      <c r="G410" s="76" t="s">
        <v>210</v>
      </c>
      <c r="H410" s="76" t="s">
        <v>385</v>
      </c>
      <c r="I410" s="76" t="s">
        <v>1966</v>
      </c>
      <c r="J410" s="73" t="s">
        <v>1766</v>
      </c>
      <c r="K410" t="s">
        <v>1100</v>
      </c>
      <c r="L410" t="s">
        <v>226</v>
      </c>
      <c r="M410" t="s">
        <v>2346</v>
      </c>
    </row>
    <row r="411" spans="3:13">
      <c r="C411" s="72" t="s">
        <v>222</v>
      </c>
      <c r="D411" s="73" t="s">
        <v>3263</v>
      </c>
      <c r="E411" t="s">
        <v>1100</v>
      </c>
      <c r="F411" s="72" t="s">
        <v>1973</v>
      </c>
      <c r="G411" s="76" t="s">
        <v>211</v>
      </c>
      <c r="H411" s="76" t="s">
        <v>385</v>
      </c>
      <c r="I411" s="76" t="s">
        <v>1972</v>
      </c>
      <c r="J411" s="73" t="s">
        <v>1814</v>
      </c>
      <c r="K411" t="s">
        <v>1100</v>
      </c>
      <c r="L411" t="s">
        <v>226</v>
      </c>
      <c r="M411" t="s">
        <v>2347</v>
      </c>
    </row>
    <row r="412" spans="3:13">
      <c r="C412" s="72" t="s">
        <v>222</v>
      </c>
      <c r="D412" s="73" t="s">
        <v>3264</v>
      </c>
      <c r="E412" t="s">
        <v>1100</v>
      </c>
      <c r="F412" s="72" t="s">
        <v>1975</v>
      </c>
      <c r="G412" s="76" t="s">
        <v>211</v>
      </c>
      <c r="H412" s="76" t="s">
        <v>385</v>
      </c>
      <c r="I412" s="76" t="s">
        <v>1974</v>
      </c>
      <c r="J412" s="73" t="s">
        <v>1814</v>
      </c>
      <c r="K412" t="s">
        <v>1100</v>
      </c>
      <c r="L412" t="s">
        <v>226</v>
      </c>
      <c r="M412" t="s">
        <v>2348</v>
      </c>
    </row>
    <row r="413" spans="3:13">
      <c r="C413" s="72" t="s">
        <v>222</v>
      </c>
      <c r="D413" s="73" t="s">
        <v>3265</v>
      </c>
      <c r="E413" t="s">
        <v>1100</v>
      </c>
      <c r="F413" s="72" t="s">
        <v>1977</v>
      </c>
      <c r="G413" s="76" t="s">
        <v>211</v>
      </c>
      <c r="H413" s="76" t="s">
        <v>385</v>
      </c>
      <c r="I413" s="76" t="s">
        <v>1976</v>
      </c>
      <c r="J413" s="73" t="s">
        <v>1814</v>
      </c>
      <c r="K413" t="s">
        <v>1100</v>
      </c>
      <c r="L413" t="s">
        <v>226</v>
      </c>
      <c r="M413" t="s">
        <v>2349</v>
      </c>
    </row>
    <row r="414" spans="3:13">
      <c r="C414" s="72" t="s">
        <v>222</v>
      </c>
      <c r="D414" s="73" t="s">
        <v>3266</v>
      </c>
      <c r="E414" t="s">
        <v>1100</v>
      </c>
      <c r="F414" s="72" t="s">
        <v>1979</v>
      </c>
      <c r="G414" s="76" t="s">
        <v>211</v>
      </c>
      <c r="H414" s="76" t="s">
        <v>385</v>
      </c>
      <c r="I414" s="76" t="s">
        <v>1978</v>
      </c>
      <c r="J414" s="73" t="s">
        <v>1814</v>
      </c>
      <c r="K414" t="s">
        <v>1100</v>
      </c>
      <c r="L414" t="s">
        <v>226</v>
      </c>
      <c r="M414" t="s">
        <v>2350</v>
      </c>
    </row>
    <row r="415" spans="3:13">
      <c r="C415" s="72" t="s">
        <v>222</v>
      </c>
      <c r="D415" s="73" t="s">
        <v>3267</v>
      </c>
      <c r="E415" t="s">
        <v>1100</v>
      </c>
      <c r="F415" s="72" t="s">
        <v>1971</v>
      </c>
      <c r="G415" s="76" t="s">
        <v>211</v>
      </c>
      <c r="H415" s="76" t="s">
        <v>385</v>
      </c>
      <c r="I415" s="76" t="s">
        <v>1981</v>
      </c>
      <c r="J415" s="73" t="s">
        <v>1814</v>
      </c>
      <c r="K415" t="s">
        <v>1100</v>
      </c>
      <c r="L415" t="s">
        <v>226</v>
      </c>
      <c r="M415" t="s">
        <v>2351</v>
      </c>
    </row>
    <row r="416" spans="3:13">
      <c r="C416" s="72" t="s">
        <v>222</v>
      </c>
      <c r="D416" s="73" t="s">
        <v>3268</v>
      </c>
      <c r="E416" t="s">
        <v>1100</v>
      </c>
      <c r="F416" s="72" t="s">
        <v>1980</v>
      </c>
      <c r="G416" s="76" t="s">
        <v>211</v>
      </c>
      <c r="H416" s="76" t="s">
        <v>385</v>
      </c>
      <c r="I416" s="76" t="s">
        <v>1982</v>
      </c>
      <c r="J416" s="73" t="s">
        <v>1832</v>
      </c>
      <c r="K416" t="s">
        <v>1100</v>
      </c>
      <c r="M416" t="s">
        <v>2064</v>
      </c>
    </row>
    <row r="417" spans="3:13">
      <c r="C417" s="72" t="s">
        <v>223</v>
      </c>
      <c r="D417" s="73" t="s">
        <v>2315</v>
      </c>
      <c r="E417" t="s">
        <v>1100</v>
      </c>
      <c r="F417" s="72" t="s">
        <v>1993</v>
      </c>
      <c r="G417" s="76" t="s">
        <v>212</v>
      </c>
      <c r="H417" s="76" t="s">
        <v>385</v>
      </c>
      <c r="I417" s="76" t="s">
        <v>1992</v>
      </c>
      <c r="J417" s="73" t="s">
        <v>1814</v>
      </c>
      <c r="K417" t="s">
        <v>1100</v>
      </c>
      <c r="M417" t="s">
        <v>2064</v>
      </c>
    </row>
    <row r="418" spans="3:13">
      <c r="C418" s="72" t="s">
        <v>223</v>
      </c>
      <c r="D418" s="73" t="s">
        <v>2316</v>
      </c>
      <c r="E418" t="s">
        <v>1100</v>
      </c>
      <c r="F418" s="72" t="s">
        <v>1994</v>
      </c>
      <c r="G418" s="76" t="s">
        <v>212</v>
      </c>
      <c r="H418" s="76" t="s">
        <v>385</v>
      </c>
      <c r="I418" s="76" t="s">
        <v>2003</v>
      </c>
      <c r="J418" s="73" t="s">
        <v>1814</v>
      </c>
      <c r="K418" t="s">
        <v>1100</v>
      </c>
      <c r="L418" t="s">
        <v>227</v>
      </c>
      <c r="M418" t="s">
        <v>2358</v>
      </c>
    </row>
    <row r="419" spans="3:13">
      <c r="C419" s="72" t="s">
        <v>223</v>
      </c>
      <c r="D419" s="73" t="s">
        <v>2317</v>
      </c>
      <c r="E419" t="s">
        <v>1100</v>
      </c>
      <c r="F419" s="72" t="s">
        <v>1995</v>
      </c>
      <c r="G419" s="76" t="s">
        <v>212</v>
      </c>
      <c r="H419" s="76" t="s">
        <v>385</v>
      </c>
      <c r="I419" s="76" t="s">
        <v>1996</v>
      </c>
      <c r="J419" s="73" t="s">
        <v>1766</v>
      </c>
      <c r="K419" t="s">
        <v>1100</v>
      </c>
      <c r="L419" t="s">
        <v>227</v>
      </c>
      <c r="M419" t="s">
        <v>2359</v>
      </c>
    </row>
    <row r="420" spans="3:13">
      <c r="C420" s="72" t="s">
        <v>223</v>
      </c>
      <c r="D420" s="73" t="s">
        <v>2317</v>
      </c>
      <c r="E420" t="s">
        <v>1100</v>
      </c>
      <c r="F420" s="72" t="s">
        <v>1997</v>
      </c>
      <c r="G420" s="76" t="s">
        <v>212</v>
      </c>
      <c r="H420" s="76" t="s">
        <v>385</v>
      </c>
      <c r="I420" s="76" t="s">
        <v>1998</v>
      </c>
      <c r="J420" s="73" t="s">
        <v>1766</v>
      </c>
      <c r="K420" t="s">
        <v>1100</v>
      </c>
      <c r="L420" t="s">
        <v>227</v>
      </c>
      <c r="M420" t="s">
        <v>2360</v>
      </c>
    </row>
    <row r="421" spans="3:13">
      <c r="C421" s="72" t="s">
        <v>223</v>
      </c>
      <c r="D421" s="73" t="s">
        <v>2318</v>
      </c>
      <c r="E421" t="s">
        <v>1100</v>
      </c>
      <c r="F421" s="72" t="s">
        <v>2000</v>
      </c>
      <c r="G421" s="76" t="s">
        <v>212</v>
      </c>
      <c r="H421" s="76" t="s">
        <v>385</v>
      </c>
      <c r="I421" s="76" t="s">
        <v>1999</v>
      </c>
      <c r="J421" s="73" t="s">
        <v>1814</v>
      </c>
      <c r="K421" t="s">
        <v>1100</v>
      </c>
      <c r="L421" t="s">
        <v>227</v>
      </c>
      <c r="M421" t="s">
        <v>2361</v>
      </c>
    </row>
    <row r="422" spans="3:13">
      <c r="C422" s="72" t="s">
        <v>223</v>
      </c>
      <c r="D422" s="73" t="s">
        <v>3269</v>
      </c>
      <c r="E422" t="s">
        <v>1100</v>
      </c>
      <c r="F422" s="72" t="s">
        <v>2002</v>
      </c>
      <c r="G422" s="76" t="s">
        <v>212</v>
      </c>
      <c r="H422" s="76" t="s">
        <v>385</v>
      </c>
      <c r="I422" s="76" t="s">
        <v>2001</v>
      </c>
      <c r="J422" s="73" t="s">
        <v>1814</v>
      </c>
      <c r="K422" t="s">
        <v>1100</v>
      </c>
      <c r="L422" t="s">
        <v>227</v>
      </c>
      <c r="M422" t="s">
        <v>2362</v>
      </c>
    </row>
    <row r="423" spans="3:13">
      <c r="C423" s="72" t="s">
        <v>223</v>
      </c>
      <c r="D423" s="73" t="s">
        <v>3270</v>
      </c>
      <c r="E423" t="s">
        <v>1100</v>
      </c>
      <c r="F423" s="72" t="s">
        <v>2005</v>
      </c>
      <c r="G423" s="76" t="s">
        <v>213</v>
      </c>
      <c r="H423" s="76" t="s">
        <v>385</v>
      </c>
      <c r="I423" s="76" t="s">
        <v>2004</v>
      </c>
      <c r="J423" s="73" t="s">
        <v>1814</v>
      </c>
      <c r="K423" t="s">
        <v>1100</v>
      </c>
      <c r="L423" t="s">
        <v>227</v>
      </c>
      <c r="M423" t="s">
        <v>2363</v>
      </c>
    </row>
    <row r="424" spans="3:13">
      <c r="C424" s="72" t="s">
        <v>224</v>
      </c>
      <c r="D424" s="73" t="s">
        <v>2319</v>
      </c>
      <c r="E424" t="s">
        <v>1100</v>
      </c>
      <c r="F424" s="72" t="s">
        <v>2007</v>
      </c>
      <c r="G424" s="76" t="s">
        <v>213</v>
      </c>
      <c r="H424" s="76" t="s">
        <v>385</v>
      </c>
      <c r="I424" s="76" t="s">
        <v>2006</v>
      </c>
      <c r="J424" s="73" t="s">
        <v>1765</v>
      </c>
      <c r="K424" t="s">
        <v>1100</v>
      </c>
      <c r="L424" t="s">
        <v>227</v>
      </c>
      <c r="M424" t="s">
        <v>2364</v>
      </c>
    </row>
    <row r="425" spans="3:13">
      <c r="C425" s="72" t="s">
        <v>224</v>
      </c>
      <c r="D425" s="73" t="s">
        <v>2320</v>
      </c>
      <c r="E425" t="s">
        <v>1100</v>
      </c>
      <c r="F425" s="72" t="s">
        <v>1993</v>
      </c>
      <c r="G425" s="76" t="s">
        <v>213</v>
      </c>
      <c r="H425" s="76" t="s">
        <v>385</v>
      </c>
      <c r="I425" s="76" t="s">
        <v>2008</v>
      </c>
      <c r="J425" s="73" t="s">
        <v>1814</v>
      </c>
      <c r="K425" t="s">
        <v>1100</v>
      </c>
      <c r="L425" t="s">
        <v>227</v>
      </c>
      <c r="M425" t="s">
        <v>2365</v>
      </c>
    </row>
    <row r="426" spans="3:13">
      <c r="C426" s="72" t="s">
        <v>224</v>
      </c>
      <c r="D426" s="73" t="s">
        <v>2321</v>
      </c>
      <c r="E426" t="s">
        <v>1100</v>
      </c>
      <c r="F426" s="72" t="s">
        <v>2015</v>
      </c>
      <c r="G426" s="76" t="s">
        <v>214</v>
      </c>
      <c r="H426" s="76" t="s">
        <v>385</v>
      </c>
      <c r="I426" s="76" t="s">
        <v>2014</v>
      </c>
      <c r="J426" s="73" t="s">
        <v>1814</v>
      </c>
      <c r="K426" t="s">
        <v>1100</v>
      </c>
      <c r="L426" t="s">
        <v>227</v>
      </c>
      <c r="M426" t="s">
        <v>2366</v>
      </c>
    </row>
    <row r="427" spans="3:13">
      <c r="C427" s="72" t="s">
        <v>224</v>
      </c>
      <c r="D427" s="73" t="s">
        <v>2322</v>
      </c>
      <c r="E427" t="s">
        <v>1100</v>
      </c>
      <c r="F427" s="72" t="s">
        <v>2017</v>
      </c>
      <c r="G427" s="76" t="s">
        <v>214</v>
      </c>
      <c r="H427" s="76" t="s">
        <v>385</v>
      </c>
      <c r="I427" s="76" t="s">
        <v>2016</v>
      </c>
      <c r="J427" s="73" t="s">
        <v>1814</v>
      </c>
      <c r="K427" t="s">
        <v>1100</v>
      </c>
      <c r="L427" t="s">
        <v>227</v>
      </c>
      <c r="M427" t="s">
        <v>2367</v>
      </c>
    </row>
    <row r="428" spans="3:13">
      <c r="C428" s="72" t="s">
        <v>224</v>
      </c>
      <c r="D428" s="73" t="s">
        <v>3271</v>
      </c>
      <c r="E428" t="s">
        <v>1100</v>
      </c>
      <c r="F428" s="72" t="s">
        <v>2019</v>
      </c>
      <c r="G428" s="76" t="s">
        <v>214</v>
      </c>
      <c r="H428" s="76" t="s">
        <v>385</v>
      </c>
      <c r="I428" s="76" t="s">
        <v>2018</v>
      </c>
      <c r="J428" s="73" t="s">
        <v>1814</v>
      </c>
      <c r="K428" t="s">
        <v>1100</v>
      </c>
      <c r="L428" t="s">
        <v>227</v>
      </c>
      <c r="M428" t="s">
        <v>2368</v>
      </c>
    </row>
    <row r="429" spans="3:13">
      <c r="C429" s="72" t="s">
        <v>224</v>
      </c>
      <c r="D429" s="73" t="s">
        <v>3272</v>
      </c>
      <c r="E429" t="s">
        <v>1100</v>
      </c>
      <c r="F429" s="72" t="s">
        <v>2020</v>
      </c>
      <c r="G429" s="76" t="s">
        <v>214</v>
      </c>
      <c r="H429" s="76" t="s">
        <v>385</v>
      </c>
      <c r="I429" s="76" t="s">
        <v>2013</v>
      </c>
      <c r="J429" s="73" t="s">
        <v>1814</v>
      </c>
      <c r="K429" t="s">
        <v>1100</v>
      </c>
      <c r="L429" t="s">
        <v>227</v>
      </c>
      <c r="M429" t="s">
        <v>2369</v>
      </c>
    </row>
    <row r="430" spans="3:13">
      <c r="C430" s="72" t="s">
        <v>224</v>
      </c>
      <c r="D430" s="73" t="s">
        <v>3273</v>
      </c>
      <c r="E430" t="s">
        <v>1100</v>
      </c>
      <c r="F430" s="72" t="s">
        <v>2021</v>
      </c>
      <c r="G430" s="76" t="s">
        <v>214</v>
      </c>
      <c r="H430" s="76" t="s">
        <v>385</v>
      </c>
      <c r="I430" s="76" t="s">
        <v>2021</v>
      </c>
      <c r="J430" s="73" t="s">
        <v>1766</v>
      </c>
      <c r="K430" t="s">
        <v>1100</v>
      </c>
      <c r="L430" t="s">
        <v>227</v>
      </c>
      <c r="M430" t="s">
        <v>2370</v>
      </c>
    </row>
    <row r="431" spans="3:13">
      <c r="C431" s="72" t="s">
        <v>224</v>
      </c>
      <c r="D431" s="73" t="s">
        <v>3274</v>
      </c>
      <c r="E431" t="s">
        <v>1100</v>
      </c>
      <c r="F431" s="72" t="s">
        <v>2007</v>
      </c>
      <c r="G431" s="76" t="s">
        <v>214</v>
      </c>
      <c r="H431" s="76" t="s">
        <v>385</v>
      </c>
      <c r="I431" s="76" t="s">
        <v>2006</v>
      </c>
      <c r="J431" s="73" t="s">
        <v>1765</v>
      </c>
      <c r="K431" t="s">
        <v>1100</v>
      </c>
      <c r="L431" t="s">
        <v>227</v>
      </c>
      <c r="M431" t="s">
        <v>2371</v>
      </c>
    </row>
    <row r="432" spans="3:13">
      <c r="C432" s="72" t="s">
        <v>225</v>
      </c>
      <c r="D432" s="73" t="s">
        <v>2323</v>
      </c>
      <c r="E432" t="s">
        <v>1100</v>
      </c>
      <c r="F432" s="72" t="s">
        <v>2023</v>
      </c>
      <c r="G432" s="76" t="s">
        <v>214</v>
      </c>
      <c r="H432" s="76" t="s">
        <v>385</v>
      </c>
      <c r="I432" s="76" t="s">
        <v>2022</v>
      </c>
      <c r="J432" s="73" t="s">
        <v>1814</v>
      </c>
      <c r="K432" t="s">
        <v>1100</v>
      </c>
      <c r="L432" t="s">
        <v>227</v>
      </c>
      <c r="M432" t="s">
        <v>2372</v>
      </c>
    </row>
    <row r="433" spans="3:13">
      <c r="C433" s="72" t="s">
        <v>225</v>
      </c>
      <c r="D433" s="73" t="s">
        <v>2324</v>
      </c>
      <c r="E433" t="s">
        <v>1100</v>
      </c>
      <c r="F433" s="72" t="s">
        <v>2039</v>
      </c>
      <c r="G433" s="76" t="s">
        <v>217</v>
      </c>
      <c r="H433" s="76" t="s">
        <v>385</v>
      </c>
      <c r="I433" s="76" t="s">
        <v>2038</v>
      </c>
      <c r="J433" s="73" t="s">
        <v>1814</v>
      </c>
      <c r="K433" t="s">
        <v>1100</v>
      </c>
      <c r="L433" t="s">
        <v>227</v>
      </c>
      <c r="M433" t="s">
        <v>2373</v>
      </c>
    </row>
    <row r="434" spans="3:13">
      <c r="C434" s="72" t="s">
        <v>225</v>
      </c>
      <c r="D434" s="73" t="s">
        <v>2325</v>
      </c>
      <c r="E434" t="s">
        <v>1100</v>
      </c>
      <c r="F434" s="72" t="s">
        <v>2043</v>
      </c>
      <c r="G434" s="76" t="s">
        <v>218</v>
      </c>
      <c r="H434" s="76" t="s">
        <v>385</v>
      </c>
      <c r="I434" s="76" t="s">
        <v>2046</v>
      </c>
      <c r="J434" s="73" t="s">
        <v>1814</v>
      </c>
      <c r="K434" t="s">
        <v>1100</v>
      </c>
      <c r="L434" t="s">
        <v>227</v>
      </c>
      <c r="M434" t="s">
        <v>2374</v>
      </c>
    </row>
    <row r="435" spans="3:13">
      <c r="C435" s="72" t="s">
        <v>225</v>
      </c>
      <c r="D435" s="73" t="s">
        <v>2326</v>
      </c>
      <c r="E435" t="s">
        <v>1100</v>
      </c>
      <c r="F435" s="72" t="s">
        <v>2045</v>
      </c>
      <c r="G435" s="76" t="s">
        <v>218</v>
      </c>
      <c r="H435" s="76" t="s">
        <v>385</v>
      </c>
      <c r="I435" s="76" t="s">
        <v>2044</v>
      </c>
      <c r="J435" s="73" t="s">
        <v>1774</v>
      </c>
      <c r="K435" t="s">
        <v>1100</v>
      </c>
      <c r="L435" t="s">
        <v>227</v>
      </c>
      <c r="M435" t="s">
        <v>2375</v>
      </c>
    </row>
    <row r="436" spans="3:13" ht="15.75" thickBot="1">
      <c r="C436" s="72" t="s">
        <v>225</v>
      </c>
      <c r="D436" s="73" t="s">
        <v>2327</v>
      </c>
      <c r="E436" t="s">
        <v>1100</v>
      </c>
      <c r="F436" s="74" t="s">
        <v>2061</v>
      </c>
      <c r="G436" s="77" t="s">
        <v>178</v>
      </c>
      <c r="H436" s="77" t="s">
        <v>385</v>
      </c>
      <c r="I436" s="77" t="s">
        <v>2062</v>
      </c>
      <c r="J436" s="75" t="s">
        <v>1832</v>
      </c>
      <c r="K436" t="s">
        <v>1100</v>
      </c>
      <c r="L436" t="s">
        <v>227</v>
      </c>
      <c r="M436" t="s">
        <v>2376</v>
      </c>
    </row>
    <row r="437" spans="3:13">
      <c r="C437" s="72" t="s">
        <v>225</v>
      </c>
      <c r="D437" s="73" t="s">
        <v>3275</v>
      </c>
      <c r="E437" t="s">
        <v>1100</v>
      </c>
      <c r="L437" t="s">
        <v>227</v>
      </c>
      <c r="M437" t="s">
        <v>2377</v>
      </c>
    </row>
    <row r="438" spans="3:13">
      <c r="C438" s="72" t="s">
        <v>225</v>
      </c>
      <c r="D438" s="73" t="s">
        <v>3276</v>
      </c>
      <c r="E438" t="s">
        <v>1100</v>
      </c>
      <c r="L438" t="s">
        <v>227</v>
      </c>
      <c r="M438" t="s">
        <v>2378</v>
      </c>
    </row>
    <row r="439" spans="3:13">
      <c r="C439" s="72" t="s">
        <v>225</v>
      </c>
      <c r="D439" s="73" t="s">
        <v>3277</v>
      </c>
      <c r="E439" t="s">
        <v>1100</v>
      </c>
      <c r="M439" t="s">
        <v>2064</v>
      </c>
    </row>
    <row r="440" spans="3:13">
      <c r="C440" s="72" t="s">
        <v>225</v>
      </c>
      <c r="D440" s="73" t="s">
        <v>3278</v>
      </c>
      <c r="E440" t="s">
        <v>1100</v>
      </c>
      <c r="M440" t="s">
        <v>2064</v>
      </c>
    </row>
    <row r="441" spans="3:13">
      <c r="C441" s="72" t="s">
        <v>226</v>
      </c>
      <c r="D441" s="73" t="s">
        <v>2330</v>
      </c>
      <c r="E441" t="s">
        <v>1100</v>
      </c>
      <c r="L441" t="s">
        <v>228</v>
      </c>
      <c r="M441" t="s">
        <v>2383</v>
      </c>
    </row>
    <row r="442" spans="3:13">
      <c r="C442" s="72" t="s">
        <v>226</v>
      </c>
      <c r="D442" s="73" t="s">
        <v>2331</v>
      </c>
      <c r="E442" t="s">
        <v>1100</v>
      </c>
      <c r="L442" t="s">
        <v>228</v>
      </c>
      <c r="M442" t="s">
        <v>2384</v>
      </c>
    </row>
    <row r="443" spans="3:13" ht="45">
      <c r="C443" s="72" t="s">
        <v>226</v>
      </c>
      <c r="D443" s="83" t="s">
        <v>2332</v>
      </c>
      <c r="E443" t="s">
        <v>1100</v>
      </c>
      <c r="L443" t="s">
        <v>228</v>
      </c>
      <c r="M443" t="s">
        <v>2385</v>
      </c>
    </row>
    <row r="444" spans="3:13">
      <c r="C444" s="72" t="s">
        <v>226</v>
      </c>
      <c r="D444" s="73" t="s">
        <v>2333</v>
      </c>
      <c r="E444" t="s">
        <v>1100</v>
      </c>
      <c r="L444" t="s">
        <v>228</v>
      </c>
      <c r="M444" t="s">
        <v>2386</v>
      </c>
    </row>
    <row r="445" spans="3:13">
      <c r="C445" s="72" t="s">
        <v>226</v>
      </c>
      <c r="D445" s="73" t="s">
        <v>2334</v>
      </c>
      <c r="E445" t="s">
        <v>1100</v>
      </c>
      <c r="L445" t="s">
        <v>228</v>
      </c>
      <c r="M445" t="s">
        <v>2387</v>
      </c>
    </row>
    <row r="446" spans="3:13">
      <c r="C446" s="72" t="s">
        <v>226</v>
      </c>
      <c r="D446" s="73" t="s">
        <v>2335</v>
      </c>
      <c r="E446" t="s">
        <v>1100</v>
      </c>
      <c r="L446" t="s">
        <v>228</v>
      </c>
      <c r="M446" t="s">
        <v>2388</v>
      </c>
    </row>
    <row r="447" spans="3:13">
      <c r="C447" s="72" t="s">
        <v>226</v>
      </c>
      <c r="D447" s="73" t="s">
        <v>2336</v>
      </c>
      <c r="E447" t="s">
        <v>1100</v>
      </c>
      <c r="L447" t="s">
        <v>228</v>
      </c>
      <c r="M447" t="s">
        <v>2389</v>
      </c>
    </row>
    <row r="448" spans="3:13">
      <c r="C448" s="72" t="s">
        <v>226</v>
      </c>
      <c r="D448" s="73" t="s">
        <v>2337</v>
      </c>
      <c r="E448" t="s">
        <v>1100</v>
      </c>
      <c r="L448" t="s">
        <v>228</v>
      </c>
      <c r="M448" t="s">
        <v>2390</v>
      </c>
    </row>
    <row r="449" spans="3:13">
      <c r="C449" s="72" t="s">
        <v>226</v>
      </c>
      <c r="D449" s="73" t="s">
        <v>2338</v>
      </c>
      <c r="E449" t="s">
        <v>1100</v>
      </c>
      <c r="L449" t="s">
        <v>228</v>
      </c>
      <c r="M449" t="s">
        <v>2391</v>
      </c>
    </row>
    <row r="450" spans="3:13">
      <c r="C450" s="72" t="s">
        <v>226</v>
      </c>
      <c r="D450" s="73" t="s">
        <v>2339</v>
      </c>
      <c r="E450" t="s">
        <v>1100</v>
      </c>
      <c r="L450" t="s">
        <v>228</v>
      </c>
      <c r="M450" t="s">
        <v>2392</v>
      </c>
    </row>
    <row r="451" spans="3:13">
      <c r="C451" s="72" t="s">
        <v>226</v>
      </c>
      <c r="D451" s="73" t="s">
        <v>3279</v>
      </c>
      <c r="E451" t="s">
        <v>1100</v>
      </c>
      <c r="L451" t="s">
        <v>228</v>
      </c>
      <c r="M451" t="s">
        <v>2393</v>
      </c>
    </row>
    <row r="452" spans="3:13">
      <c r="C452" s="72" t="s">
        <v>226</v>
      </c>
      <c r="D452" s="73" t="s">
        <v>3280</v>
      </c>
      <c r="E452" t="s">
        <v>1100</v>
      </c>
      <c r="L452" t="s">
        <v>228</v>
      </c>
      <c r="M452" t="s">
        <v>2394</v>
      </c>
    </row>
    <row r="453" spans="3:13">
      <c r="C453" s="72" t="s">
        <v>226</v>
      </c>
      <c r="D453" s="73" t="s">
        <v>3281</v>
      </c>
      <c r="E453" t="s">
        <v>1100</v>
      </c>
      <c r="L453" t="s">
        <v>228</v>
      </c>
      <c r="M453" t="s">
        <v>2395</v>
      </c>
    </row>
    <row r="454" spans="3:13">
      <c r="C454" s="72" t="s">
        <v>226</v>
      </c>
      <c r="D454" s="73" t="s">
        <v>3282</v>
      </c>
      <c r="E454" t="s">
        <v>1100</v>
      </c>
      <c r="L454" t="s">
        <v>228</v>
      </c>
      <c r="M454" t="s">
        <v>2396</v>
      </c>
    </row>
    <row r="455" spans="3:13">
      <c r="C455" s="72" t="s">
        <v>226</v>
      </c>
      <c r="D455" s="73" t="s">
        <v>3283</v>
      </c>
      <c r="E455" t="s">
        <v>1100</v>
      </c>
      <c r="L455" t="s">
        <v>228</v>
      </c>
      <c r="M455" t="s">
        <v>2397</v>
      </c>
    </row>
    <row r="456" spans="3:13">
      <c r="C456" s="72" t="s">
        <v>226</v>
      </c>
      <c r="D456" s="73" t="s">
        <v>3284</v>
      </c>
      <c r="E456" t="s">
        <v>1100</v>
      </c>
      <c r="L456" t="s">
        <v>228</v>
      </c>
      <c r="M456" t="s">
        <v>2398</v>
      </c>
    </row>
    <row r="457" spans="3:13">
      <c r="C457" s="72" t="s">
        <v>226</v>
      </c>
      <c r="D457" s="73" t="s">
        <v>3285</v>
      </c>
      <c r="E457" t="s">
        <v>1100</v>
      </c>
      <c r="L457" t="s">
        <v>228</v>
      </c>
      <c r="M457" t="s">
        <v>2399</v>
      </c>
    </row>
    <row r="458" spans="3:13">
      <c r="C458" s="72" t="s">
        <v>226</v>
      </c>
      <c r="D458" s="73" t="s">
        <v>3286</v>
      </c>
      <c r="E458" t="s">
        <v>1100</v>
      </c>
      <c r="L458" t="s">
        <v>228</v>
      </c>
      <c r="M458" t="s">
        <v>2400</v>
      </c>
    </row>
    <row r="459" spans="3:13">
      <c r="C459" s="72" t="s">
        <v>226</v>
      </c>
      <c r="D459" s="73" t="s">
        <v>3287</v>
      </c>
      <c r="E459" t="s">
        <v>1100</v>
      </c>
      <c r="L459" t="s">
        <v>228</v>
      </c>
      <c r="M459" t="s">
        <v>2401</v>
      </c>
    </row>
    <row r="460" spans="3:13">
      <c r="C460" s="72" t="s">
        <v>226</v>
      </c>
      <c r="D460" s="73" t="s">
        <v>3288</v>
      </c>
      <c r="E460" t="s">
        <v>1100</v>
      </c>
      <c r="L460" t="s">
        <v>228</v>
      </c>
      <c r="M460" t="s">
        <v>2402</v>
      </c>
    </row>
    <row r="461" spans="3:13">
      <c r="C461" s="72" t="s">
        <v>226</v>
      </c>
      <c r="D461" s="73" t="s">
        <v>3289</v>
      </c>
      <c r="E461" t="s">
        <v>1100</v>
      </c>
      <c r="L461" t="s">
        <v>228</v>
      </c>
      <c r="M461" t="s">
        <v>2403</v>
      </c>
    </row>
    <row r="462" spans="3:13">
      <c r="C462" s="72" t="s">
        <v>227</v>
      </c>
      <c r="D462" s="73" t="s">
        <v>2352</v>
      </c>
      <c r="E462" t="s">
        <v>1100</v>
      </c>
      <c r="M462" t="s">
        <v>2064</v>
      </c>
    </row>
    <row r="463" spans="3:13">
      <c r="C463" s="72" t="s">
        <v>227</v>
      </c>
      <c r="D463" s="73" t="s">
        <v>2353</v>
      </c>
      <c r="E463" t="s">
        <v>1100</v>
      </c>
      <c r="M463" t="s">
        <v>2064</v>
      </c>
    </row>
    <row r="464" spans="3:13">
      <c r="C464" s="72" t="s">
        <v>227</v>
      </c>
      <c r="D464" s="73" t="s">
        <v>2354</v>
      </c>
      <c r="E464" t="s">
        <v>1100</v>
      </c>
      <c r="L464" t="s">
        <v>229</v>
      </c>
      <c r="M464" t="s">
        <v>2412</v>
      </c>
    </row>
    <row r="465" spans="3:13">
      <c r="C465" s="72" t="s">
        <v>227</v>
      </c>
      <c r="D465" s="73" t="s">
        <v>2355</v>
      </c>
      <c r="E465" t="s">
        <v>1100</v>
      </c>
      <c r="L465" t="s">
        <v>229</v>
      </c>
      <c r="M465" t="s">
        <v>2413</v>
      </c>
    </row>
    <row r="466" spans="3:13">
      <c r="C466" s="72" t="s">
        <v>227</v>
      </c>
      <c r="D466" s="73" t="s">
        <v>2356</v>
      </c>
      <c r="E466" t="s">
        <v>1100</v>
      </c>
      <c r="L466" t="s">
        <v>229</v>
      </c>
      <c r="M466" t="s">
        <v>2414</v>
      </c>
    </row>
    <row r="467" spans="3:13">
      <c r="C467" s="72" t="s">
        <v>227</v>
      </c>
      <c r="D467" s="73" t="s">
        <v>2357</v>
      </c>
      <c r="E467" t="s">
        <v>1100</v>
      </c>
      <c r="L467" t="s">
        <v>229</v>
      </c>
      <c r="M467" t="s">
        <v>2415</v>
      </c>
    </row>
    <row r="468" spans="3:13" ht="15.75" thickBot="1">
      <c r="C468" s="74" t="s">
        <v>227</v>
      </c>
      <c r="D468" s="75" t="s">
        <v>3290</v>
      </c>
      <c r="E468" t="s">
        <v>1100</v>
      </c>
      <c r="L468" t="s">
        <v>229</v>
      </c>
      <c r="M468" t="s">
        <v>2416</v>
      </c>
    </row>
    <row r="469" spans="3:13">
      <c r="C469" t="s">
        <v>227</v>
      </c>
      <c r="D469" t="s">
        <v>3291</v>
      </c>
      <c r="L469" t="s">
        <v>229</v>
      </c>
      <c r="M469" t="s">
        <v>2417</v>
      </c>
    </row>
    <row r="470" spans="3:13">
      <c r="C470" t="s">
        <v>227</v>
      </c>
      <c r="D470" t="s">
        <v>3292</v>
      </c>
      <c r="L470" t="s">
        <v>229</v>
      </c>
      <c r="M470" t="s">
        <v>2418</v>
      </c>
    </row>
    <row r="471" spans="3:13">
      <c r="C471" t="s">
        <v>227</v>
      </c>
      <c r="D471" t="s">
        <v>3293</v>
      </c>
      <c r="L471" t="s">
        <v>229</v>
      </c>
      <c r="M471" t="s">
        <v>2419</v>
      </c>
    </row>
    <row r="472" spans="3:13">
      <c r="C472" t="s">
        <v>227</v>
      </c>
      <c r="D472" t="s">
        <v>3294</v>
      </c>
      <c r="L472" t="s">
        <v>229</v>
      </c>
      <c r="M472" t="s">
        <v>2420</v>
      </c>
    </row>
    <row r="473" spans="3:13">
      <c r="C473" t="s">
        <v>227</v>
      </c>
      <c r="D473" t="s">
        <v>3295</v>
      </c>
      <c r="L473" t="s">
        <v>229</v>
      </c>
      <c r="M473" t="s">
        <v>2421</v>
      </c>
    </row>
    <row r="474" spans="3:13">
      <c r="C474" t="s">
        <v>227</v>
      </c>
      <c r="D474" t="s">
        <v>3296</v>
      </c>
      <c r="L474" t="s">
        <v>229</v>
      </c>
      <c r="M474" t="s">
        <v>2422</v>
      </c>
    </row>
    <row r="475" spans="3:13">
      <c r="C475" t="s">
        <v>227</v>
      </c>
      <c r="D475" t="s">
        <v>3297</v>
      </c>
      <c r="L475" t="s">
        <v>229</v>
      </c>
      <c r="M475" t="s">
        <v>2423</v>
      </c>
    </row>
    <row r="476" spans="3:13">
      <c r="C476" t="s">
        <v>227</v>
      </c>
      <c r="D476" t="s">
        <v>3298</v>
      </c>
      <c r="L476" t="s">
        <v>229</v>
      </c>
      <c r="M476" t="s">
        <v>2424</v>
      </c>
    </row>
    <row r="477" spans="3:13">
      <c r="C477" t="s">
        <v>227</v>
      </c>
      <c r="D477" t="s">
        <v>3299</v>
      </c>
      <c r="L477" t="s">
        <v>229</v>
      </c>
      <c r="M477" t="s">
        <v>2425</v>
      </c>
    </row>
    <row r="478" spans="3:13">
      <c r="C478" t="s">
        <v>227</v>
      </c>
      <c r="D478" t="s">
        <v>3300</v>
      </c>
      <c r="L478" t="s">
        <v>229</v>
      </c>
      <c r="M478" t="s">
        <v>2426</v>
      </c>
    </row>
    <row r="479" spans="3:13">
      <c r="C479" t="s">
        <v>227</v>
      </c>
      <c r="D479" t="s">
        <v>3301</v>
      </c>
      <c r="L479" t="s">
        <v>229</v>
      </c>
      <c r="M479" t="s">
        <v>2427</v>
      </c>
    </row>
    <row r="480" spans="3:13">
      <c r="C480" t="s">
        <v>227</v>
      </c>
      <c r="D480" t="s">
        <v>3302</v>
      </c>
      <c r="L480" t="s">
        <v>229</v>
      </c>
      <c r="M480" t="s">
        <v>2428</v>
      </c>
    </row>
    <row r="481" spans="3:13">
      <c r="C481" t="s">
        <v>227</v>
      </c>
      <c r="D481" t="s">
        <v>3303</v>
      </c>
      <c r="L481" t="s">
        <v>229</v>
      </c>
      <c r="M481" t="s">
        <v>2429</v>
      </c>
    </row>
    <row r="482" spans="3:13">
      <c r="C482" t="s">
        <v>227</v>
      </c>
      <c r="D482" t="s">
        <v>3304</v>
      </c>
      <c r="E482" t="s">
        <v>1100</v>
      </c>
      <c r="L482" t="s">
        <v>229</v>
      </c>
      <c r="M482" t="s">
        <v>2430</v>
      </c>
    </row>
    <row r="483" spans="3:13">
      <c r="C483" t="s">
        <v>227</v>
      </c>
      <c r="D483" t="s">
        <v>3305</v>
      </c>
      <c r="L483" t="s">
        <v>229</v>
      </c>
      <c r="M483" t="s">
        <v>2431</v>
      </c>
    </row>
    <row r="484" spans="3:13">
      <c r="C484" t="s">
        <v>227</v>
      </c>
      <c r="D484" t="s">
        <v>3306</v>
      </c>
      <c r="L484" t="s">
        <v>229</v>
      </c>
      <c r="M484" t="s">
        <v>2432</v>
      </c>
    </row>
    <row r="485" spans="3:13">
      <c r="C485" t="s">
        <v>227</v>
      </c>
      <c r="D485" t="s">
        <v>3307</v>
      </c>
      <c r="L485" t="s">
        <v>229</v>
      </c>
      <c r="M485" t="s">
        <v>2433</v>
      </c>
    </row>
    <row r="486" spans="3:13">
      <c r="C486" t="s">
        <v>227</v>
      </c>
      <c r="D486" t="s">
        <v>3308</v>
      </c>
      <c r="L486" t="s">
        <v>229</v>
      </c>
      <c r="M486" t="s">
        <v>2434</v>
      </c>
    </row>
    <row r="487" spans="3:13">
      <c r="C487" t="s">
        <v>227</v>
      </c>
      <c r="D487" t="s">
        <v>3309</v>
      </c>
      <c r="L487" t="s">
        <v>229</v>
      </c>
      <c r="M487" t="s">
        <v>2435</v>
      </c>
    </row>
    <row r="488" spans="3:13">
      <c r="C488" t="s">
        <v>227</v>
      </c>
      <c r="D488" t="s">
        <v>3310</v>
      </c>
      <c r="L488" t="s">
        <v>229</v>
      </c>
      <c r="M488" t="s">
        <v>2436</v>
      </c>
    </row>
    <row r="489" spans="3:13">
      <c r="C489" t="s">
        <v>228</v>
      </c>
      <c r="D489" t="s">
        <v>2379</v>
      </c>
      <c r="L489" t="s">
        <v>229</v>
      </c>
      <c r="M489" t="s">
        <v>2437</v>
      </c>
    </row>
    <row r="490" spans="3:13">
      <c r="C490" t="s">
        <v>228</v>
      </c>
      <c r="D490" t="s">
        <v>2380</v>
      </c>
      <c r="L490" t="s">
        <v>229</v>
      </c>
      <c r="M490" t="s">
        <v>2438</v>
      </c>
    </row>
    <row r="491" spans="3:13">
      <c r="C491" t="s">
        <v>228</v>
      </c>
      <c r="D491" t="s">
        <v>2381</v>
      </c>
      <c r="L491" t="s">
        <v>229</v>
      </c>
      <c r="M491" t="s">
        <v>2439</v>
      </c>
    </row>
    <row r="492" spans="3:13">
      <c r="C492" t="s">
        <v>228</v>
      </c>
      <c r="D492" t="s">
        <v>2382</v>
      </c>
      <c r="L492" t="s">
        <v>229</v>
      </c>
      <c r="M492" t="s">
        <v>2440</v>
      </c>
    </row>
    <row r="493" spans="3:13">
      <c r="C493" t="s">
        <v>228</v>
      </c>
      <c r="D493" t="s">
        <v>3311</v>
      </c>
      <c r="L493" t="s">
        <v>229</v>
      </c>
      <c r="M493" t="s">
        <v>2441</v>
      </c>
    </row>
    <row r="494" spans="3:13">
      <c r="C494" t="s">
        <v>228</v>
      </c>
      <c r="D494" t="s">
        <v>3312</v>
      </c>
      <c r="L494" t="s">
        <v>229</v>
      </c>
      <c r="M494" t="s">
        <v>2442</v>
      </c>
    </row>
    <row r="495" spans="3:13">
      <c r="C495" t="s">
        <v>228</v>
      </c>
      <c r="D495" t="s">
        <v>3313</v>
      </c>
      <c r="L495" t="s">
        <v>229</v>
      </c>
      <c r="M495" t="s">
        <v>2443</v>
      </c>
    </row>
    <row r="496" spans="3:13">
      <c r="C496" t="s">
        <v>228</v>
      </c>
      <c r="D496" t="s">
        <v>3314</v>
      </c>
      <c r="L496" t="s">
        <v>229</v>
      </c>
      <c r="M496" t="s">
        <v>2444</v>
      </c>
    </row>
    <row r="497" spans="3:13">
      <c r="C497" t="s">
        <v>228</v>
      </c>
      <c r="D497" t="s">
        <v>3315</v>
      </c>
      <c r="L497" t="s">
        <v>229</v>
      </c>
      <c r="M497" t="s">
        <v>2445</v>
      </c>
    </row>
    <row r="498" spans="3:13">
      <c r="C498" t="s">
        <v>228</v>
      </c>
      <c r="D498" t="s">
        <v>3316</v>
      </c>
      <c r="L498" t="s">
        <v>229</v>
      </c>
      <c r="M498" t="s">
        <v>2446</v>
      </c>
    </row>
    <row r="499" spans="3:13">
      <c r="C499" t="s">
        <v>228</v>
      </c>
      <c r="D499" t="s">
        <v>3317</v>
      </c>
      <c r="L499" t="s">
        <v>229</v>
      </c>
      <c r="M499" t="s">
        <v>2447</v>
      </c>
    </row>
    <row r="500" spans="3:13">
      <c r="C500" t="s">
        <v>228</v>
      </c>
      <c r="D500" t="s">
        <v>3318</v>
      </c>
      <c r="L500" t="s">
        <v>229</v>
      </c>
      <c r="M500" t="s">
        <v>2448</v>
      </c>
    </row>
    <row r="501" spans="3:13">
      <c r="C501" t="s">
        <v>228</v>
      </c>
      <c r="D501" t="s">
        <v>3319</v>
      </c>
      <c r="L501" t="s">
        <v>229</v>
      </c>
      <c r="M501" t="s">
        <v>2449</v>
      </c>
    </row>
    <row r="502" spans="3:13">
      <c r="C502" t="s">
        <v>228</v>
      </c>
      <c r="D502" t="s">
        <v>3320</v>
      </c>
      <c r="L502" t="s">
        <v>229</v>
      </c>
      <c r="M502" t="s">
        <v>2450</v>
      </c>
    </row>
    <row r="503" spans="3:13">
      <c r="C503" t="s">
        <v>228</v>
      </c>
      <c r="D503" t="s">
        <v>3321</v>
      </c>
      <c r="L503" t="s">
        <v>229</v>
      </c>
      <c r="M503" t="s">
        <v>2451</v>
      </c>
    </row>
    <row r="504" spans="3:13">
      <c r="C504" t="s">
        <v>228</v>
      </c>
      <c r="D504" t="s">
        <v>3322</v>
      </c>
      <c r="L504" t="s">
        <v>229</v>
      </c>
      <c r="M504" t="s">
        <v>2452</v>
      </c>
    </row>
    <row r="505" spans="3:13">
      <c r="C505" t="s">
        <v>228</v>
      </c>
      <c r="D505" t="s">
        <v>3323</v>
      </c>
      <c r="L505" t="s">
        <v>229</v>
      </c>
      <c r="M505" t="s">
        <v>2453</v>
      </c>
    </row>
    <row r="506" spans="3:13">
      <c r="C506" t="s">
        <v>228</v>
      </c>
      <c r="D506" t="s">
        <v>3324</v>
      </c>
      <c r="M506" t="s">
        <v>2064</v>
      </c>
    </row>
    <row r="507" spans="3:13">
      <c r="C507" t="s">
        <v>228</v>
      </c>
      <c r="D507" t="s">
        <v>3325</v>
      </c>
      <c r="M507" t="s">
        <v>2064</v>
      </c>
    </row>
    <row r="508" spans="3:13">
      <c r="C508" t="s">
        <v>228</v>
      </c>
      <c r="D508" t="s">
        <v>3326</v>
      </c>
      <c r="L508" t="s">
        <v>210</v>
      </c>
      <c r="M508" t="s">
        <v>2456</v>
      </c>
    </row>
    <row r="509" spans="3:13">
      <c r="C509" t="s">
        <v>228</v>
      </c>
      <c r="D509" t="s">
        <v>3327</v>
      </c>
      <c r="L509" t="s">
        <v>210</v>
      </c>
      <c r="M509" t="s">
        <v>2457</v>
      </c>
    </row>
    <row r="510" spans="3:13">
      <c r="C510" t="s">
        <v>228</v>
      </c>
      <c r="D510" t="s">
        <v>3328</v>
      </c>
      <c r="L510" t="s">
        <v>210</v>
      </c>
      <c r="M510" t="s">
        <v>2458</v>
      </c>
    </row>
    <row r="511" spans="3:13">
      <c r="C511" t="s">
        <v>228</v>
      </c>
      <c r="D511" t="s">
        <v>3329</v>
      </c>
      <c r="L511" t="s">
        <v>210</v>
      </c>
      <c r="M511" t="s">
        <v>2459</v>
      </c>
    </row>
    <row r="512" spans="3:13">
      <c r="C512" t="s">
        <v>228</v>
      </c>
      <c r="D512" t="s">
        <v>3330</v>
      </c>
      <c r="L512" t="s">
        <v>210</v>
      </c>
      <c r="M512" t="s">
        <v>2460</v>
      </c>
    </row>
    <row r="513" spans="3:13">
      <c r="C513" t="s">
        <v>228</v>
      </c>
      <c r="D513" t="s">
        <v>3331</v>
      </c>
      <c r="L513" t="s">
        <v>210</v>
      </c>
      <c r="M513" t="s">
        <v>2461</v>
      </c>
    </row>
    <row r="514" spans="3:13">
      <c r="C514" t="s">
        <v>228</v>
      </c>
      <c r="D514" t="s">
        <v>3332</v>
      </c>
      <c r="L514" t="s">
        <v>210</v>
      </c>
      <c r="M514" t="s">
        <v>2462</v>
      </c>
    </row>
    <row r="515" spans="3:13">
      <c r="C515" t="s">
        <v>229</v>
      </c>
      <c r="D515" t="s">
        <v>2404</v>
      </c>
      <c r="L515" t="s">
        <v>210</v>
      </c>
      <c r="M515" t="s">
        <v>2463</v>
      </c>
    </row>
    <row r="516" spans="3:13">
      <c r="C516" t="s">
        <v>229</v>
      </c>
      <c r="D516" t="s">
        <v>2405</v>
      </c>
      <c r="L516" t="s">
        <v>210</v>
      </c>
      <c r="M516" t="s">
        <v>2464</v>
      </c>
    </row>
    <row r="517" spans="3:13">
      <c r="C517" t="s">
        <v>229</v>
      </c>
      <c r="D517" t="s">
        <v>2406</v>
      </c>
      <c r="L517" t="s">
        <v>210</v>
      </c>
      <c r="M517" t="s">
        <v>2465</v>
      </c>
    </row>
    <row r="518" spans="3:13">
      <c r="C518" t="s">
        <v>229</v>
      </c>
      <c r="D518" t="s">
        <v>2407</v>
      </c>
      <c r="L518" t="s">
        <v>210</v>
      </c>
      <c r="M518" t="s">
        <v>2466</v>
      </c>
    </row>
    <row r="519" spans="3:13">
      <c r="C519" t="s">
        <v>229</v>
      </c>
      <c r="D519" t="s">
        <v>2408</v>
      </c>
      <c r="M519" t="s">
        <v>2064</v>
      </c>
    </row>
    <row r="520" spans="3:13">
      <c r="C520" t="s">
        <v>229</v>
      </c>
      <c r="D520" t="s">
        <v>2409</v>
      </c>
      <c r="M520" t="s">
        <v>2064</v>
      </c>
    </row>
    <row r="521" spans="3:13">
      <c r="C521" t="s">
        <v>229</v>
      </c>
      <c r="D521" t="s">
        <v>2410</v>
      </c>
      <c r="L521" t="s">
        <v>230</v>
      </c>
      <c r="M521" t="s">
        <v>2471</v>
      </c>
    </row>
    <row r="522" spans="3:13">
      <c r="C522" t="s">
        <v>229</v>
      </c>
      <c r="D522" t="s">
        <v>2411</v>
      </c>
      <c r="M522" t="s">
        <v>2064</v>
      </c>
    </row>
    <row r="523" spans="3:13">
      <c r="C523" t="s">
        <v>229</v>
      </c>
      <c r="D523" t="s">
        <v>3333</v>
      </c>
      <c r="M523" t="s">
        <v>2064</v>
      </c>
    </row>
    <row r="524" spans="3:13">
      <c r="C524" t="s">
        <v>229</v>
      </c>
      <c r="D524" t="s">
        <v>3334</v>
      </c>
      <c r="L524" t="s">
        <v>181</v>
      </c>
      <c r="M524" t="s">
        <v>2483</v>
      </c>
    </row>
    <row r="525" spans="3:13">
      <c r="C525" t="s">
        <v>229</v>
      </c>
      <c r="D525" t="s">
        <v>3335</v>
      </c>
      <c r="L525" t="s">
        <v>181</v>
      </c>
      <c r="M525" t="s">
        <v>2484</v>
      </c>
    </row>
    <row r="526" spans="3:13">
      <c r="C526" t="s">
        <v>229</v>
      </c>
      <c r="D526" t="s">
        <v>3336</v>
      </c>
      <c r="M526" t="s">
        <v>2064</v>
      </c>
    </row>
    <row r="527" spans="3:13">
      <c r="C527" t="s">
        <v>229</v>
      </c>
      <c r="D527" t="s">
        <v>3337</v>
      </c>
      <c r="M527" t="s">
        <v>2064</v>
      </c>
    </row>
    <row r="528" spans="3:13">
      <c r="C528" t="s">
        <v>229</v>
      </c>
      <c r="D528" t="s">
        <v>3338</v>
      </c>
      <c r="L528" t="s">
        <v>231</v>
      </c>
      <c r="M528" t="s">
        <v>2489</v>
      </c>
    </row>
    <row r="529" spans="3:13">
      <c r="C529" t="s">
        <v>229</v>
      </c>
      <c r="D529" t="s">
        <v>3339</v>
      </c>
      <c r="L529" t="s">
        <v>231</v>
      </c>
      <c r="M529" t="s">
        <v>2490</v>
      </c>
    </row>
    <row r="530" spans="3:13">
      <c r="C530" t="s">
        <v>229</v>
      </c>
      <c r="D530" t="s">
        <v>3340</v>
      </c>
      <c r="L530" t="s">
        <v>231</v>
      </c>
      <c r="M530" t="s">
        <v>2491</v>
      </c>
    </row>
    <row r="531" spans="3:13">
      <c r="C531" t="s">
        <v>229</v>
      </c>
      <c r="D531" t="s">
        <v>3341</v>
      </c>
      <c r="M531" t="s">
        <v>2064</v>
      </c>
    </row>
    <row r="532" spans="3:13">
      <c r="C532" t="s">
        <v>229</v>
      </c>
      <c r="D532" t="s">
        <v>3342</v>
      </c>
      <c r="M532" t="s">
        <v>2064</v>
      </c>
    </row>
    <row r="533" spans="3:13">
      <c r="C533" t="s">
        <v>229</v>
      </c>
      <c r="D533" t="s">
        <v>3343</v>
      </c>
      <c r="L533" t="s">
        <v>232</v>
      </c>
      <c r="M533" t="s">
        <v>2496</v>
      </c>
    </row>
    <row r="534" spans="3:13">
      <c r="C534" t="s">
        <v>229</v>
      </c>
      <c r="D534" t="s">
        <v>3344</v>
      </c>
      <c r="M534" t="s">
        <v>2064</v>
      </c>
    </row>
    <row r="535" spans="3:13">
      <c r="C535" t="s">
        <v>229</v>
      </c>
      <c r="D535" t="s">
        <v>3345</v>
      </c>
      <c r="M535" t="s">
        <v>2064</v>
      </c>
    </row>
    <row r="536" spans="3:13">
      <c r="C536" t="s">
        <v>229</v>
      </c>
      <c r="D536" t="s">
        <v>3346</v>
      </c>
      <c r="L536" t="s">
        <v>233</v>
      </c>
      <c r="M536" t="s">
        <v>2501</v>
      </c>
    </row>
    <row r="537" spans="3:13">
      <c r="C537" t="s">
        <v>229</v>
      </c>
      <c r="D537" t="s">
        <v>3347</v>
      </c>
      <c r="L537" t="s">
        <v>233</v>
      </c>
      <c r="M537" t="s">
        <v>2502</v>
      </c>
    </row>
    <row r="538" spans="3:13">
      <c r="C538" t="s">
        <v>229</v>
      </c>
      <c r="D538" t="s">
        <v>3348</v>
      </c>
      <c r="L538" t="s">
        <v>233</v>
      </c>
      <c r="M538" t="s">
        <v>2503</v>
      </c>
    </row>
    <row r="539" spans="3:13">
      <c r="C539" t="s">
        <v>229</v>
      </c>
      <c r="D539" t="s">
        <v>3349</v>
      </c>
      <c r="L539" t="s">
        <v>233</v>
      </c>
      <c r="M539" t="s">
        <v>2504</v>
      </c>
    </row>
    <row r="540" spans="3:13">
      <c r="C540" t="s">
        <v>229</v>
      </c>
      <c r="D540" t="s">
        <v>3350</v>
      </c>
      <c r="L540" t="s">
        <v>233</v>
      </c>
      <c r="M540" t="s">
        <v>2505</v>
      </c>
    </row>
    <row r="541" spans="3:13">
      <c r="C541" t="s">
        <v>229</v>
      </c>
      <c r="D541" t="s">
        <v>3351</v>
      </c>
      <c r="M541" t="s">
        <v>2064</v>
      </c>
    </row>
    <row r="542" spans="3:13">
      <c r="C542" t="s">
        <v>229</v>
      </c>
      <c r="D542" t="s">
        <v>3352</v>
      </c>
      <c r="M542" t="s">
        <v>2064</v>
      </c>
    </row>
    <row r="543" spans="3:13">
      <c r="C543" t="s">
        <v>229</v>
      </c>
      <c r="D543" t="s">
        <v>3353</v>
      </c>
      <c r="M543" t="s">
        <v>2064</v>
      </c>
    </row>
    <row r="544" spans="3:13">
      <c r="C544" t="s">
        <v>229</v>
      </c>
      <c r="D544" t="s">
        <v>3354</v>
      </c>
      <c r="M544" t="s">
        <v>2064</v>
      </c>
    </row>
    <row r="545" spans="3:13">
      <c r="C545" t="s">
        <v>229</v>
      </c>
      <c r="D545" t="s">
        <v>3355</v>
      </c>
      <c r="L545" t="s">
        <v>235</v>
      </c>
      <c r="M545" t="s">
        <v>2514</v>
      </c>
    </row>
    <row r="546" spans="3:13">
      <c r="C546" t="s">
        <v>229</v>
      </c>
      <c r="D546" t="s">
        <v>3356</v>
      </c>
      <c r="L546" t="s">
        <v>235</v>
      </c>
      <c r="M546" t="s">
        <v>2515</v>
      </c>
    </row>
    <row r="547" spans="3:13">
      <c r="C547" t="s">
        <v>229</v>
      </c>
      <c r="D547" t="s">
        <v>3357</v>
      </c>
      <c r="M547" t="s">
        <v>2064</v>
      </c>
    </row>
    <row r="548" spans="3:13">
      <c r="C548" t="s">
        <v>229</v>
      </c>
      <c r="D548" t="s">
        <v>3358</v>
      </c>
      <c r="M548" t="s">
        <v>2064</v>
      </c>
    </row>
    <row r="549" spans="3:13">
      <c r="C549" t="s">
        <v>229</v>
      </c>
      <c r="D549" t="s">
        <v>3359</v>
      </c>
      <c r="L549" t="s">
        <v>425</v>
      </c>
      <c r="M549" t="s">
        <v>2520</v>
      </c>
    </row>
    <row r="550" spans="3:13">
      <c r="C550" t="s">
        <v>229</v>
      </c>
      <c r="D550" t="s">
        <v>3360</v>
      </c>
      <c r="M550" t="s">
        <v>2064</v>
      </c>
    </row>
    <row r="551" spans="3:13">
      <c r="C551" t="s">
        <v>229</v>
      </c>
      <c r="D551" t="s">
        <v>3361</v>
      </c>
      <c r="M551" t="s">
        <v>2064</v>
      </c>
    </row>
    <row r="552" spans="3:13">
      <c r="C552" t="s">
        <v>229</v>
      </c>
      <c r="D552" t="s">
        <v>3362</v>
      </c>
      <c r="L552" t="s">
        <v>236</v>
      </c>
      <c r="M552" t="s">
        <v>2525</v>
      </c>
    </row>
    <row r="553" spans="3:13">
      <c r="C553" t="s">
        <v>229</v>
      </c>
      <c r="D553" t="s">
        <v>3363</v>
      </c>
      <c r="L553" t="s">
        <v>236</v>
      </c>
      <c r="M553" t="s">
        <v>2526</v>
      </c>
    </row>
    <row r="554" spans="3:13">
      <c r="C554" t="s">
        <v>229</v>
      </c>
      <c r="D554" t="s">
        <v>3364</v>
      </c>
      <c r="L554" t="s">
        <v>236</v>
      </c>
      <c r="M554" t="s">
        <v>2527</v>
      </c>
    </row>
    <row r="555" spans="3:13">
      <c r="C555" t="s">
        <v>229</v>
      </c>
      <c r="D555" t="s">
        <v>3365</v>
      </c>
      <c r="L555" t="s">
        <v>236</v>
      </c>
      <c r="M555" t="s">
        <v>2528</v>
      </c>
    </row>
    <row r="556" spans="3:13">
      <c r="C556" t="s">
        <v>229</v>
      </c>
      <c r="D556" t="s">
        <v>3366</v>
      </c>
      <c r="L556" t="s">
        <v>236</v>
      </c>
      <c r="M556" t="s">
        <v>2529</v>
      </c>
    </row>
    <row r="557" spans="3:13">
      <c r="C557" t="s">
        <v>229</v>
      </c>
      <c r="D557" t="s">
        <v>3367</v>
      </c>
      <c r="L557" t="s">
        <v>236</v>
      </c>
      <c r="M557" t="s">
        <v>2530</v>
      </c>
    </row>
    <row r="558" spans="3:13">
      <c r="C558" t="s">
        <v>229</v>
      </c>
      <c r="D558" t="s">
        <v>3368</v>
      </c>
      <c r="L558" t="s">
        <v>236</v>
      </c>
      <c r="M558" t="s">
        <v>2531</v>
      </c>
    </row>
    <row r="559" spans="3:13">
      <c r="C559" t="s">
        <v>229</v>
      </c>
      <c r="D559" t="s">
        <v>3369</v>
      </c>
      <c r="M559" t="s">
        <v>2064</v>
      </c>
    </row>
    <row r="560" spans="3:13">
      <c r="C560" t="s">
        <v>229</v>
      </c>
      <c r="D560" t="s">
        <v>3370</v>
      </c>
      <c r="M560" t="s">
        <v>2064</v>
      </c>
    </row>
    <row r="561" spans="3:13">
      <c r="C561" t="s">
        <v>229</v>
      </c>
      <c r="D561" t="s">
        <v>3371</v>
      </c>
      <c r="L561" t="s">
        <v>188</v>
      </c>
      <c r="M561" t="s">
        <v>2536</v>
      </c>
    </row>
    <row r="562" spans="3:13">
      <c r="C562" t="s">
        <v>229</v>
      </c>
      <c r="D562" t="s">
        <v>3372</v>
      </c>
      <c r="L562" t="s">
        <v>188</v>
      </c>
      <c r="M562" t="s">
        <v>2537</v>
      </c>
    </row>
    <row r="563" spans="3:13">
      <c r="C563" t="s">
        <v>229</v>
      </c>
      <c r="D563" t="s">
        <v>3373</v>
      </c>
      <c r="L563" t="s">
        <v>188</v>
      </c>
      <c r="M563" t="s">
        <v>2538</v>
      </c>
    </row>
    <row r="564" spans="3:13">
      <c r="C564" t="s">
        <v>229</v>
      </c>
      <c r="D564" t="s">
        <v>3374</v>
      </c>
      <c r="M564" t="s">
        <v>2064</v>
      </c>
    </row>
    <row r="565" spans="3:13">
      <c r="C565" t="s">
        <v>210</v>
      </c>
      <c r="D565" t="s">
        <v>2454</v>
      </c>
    </row>
    <row r="566" spans="3:13">
      <c r="C566" t="s">
        <v>210</v>
      </c>
      <c r="D566" t="s">
        <v>2455</v>
      </c>
    </row>
    <row r="567" spans="3:13">
      <c r="C567" t="s">
        <v>210</v>
      </c>
      <c r="D567" t="s">
        <v>2107</v>
      </c>
    </row>
    <row r="568" spans="3:13">
      <c r="C568" t="s">
        <v>210</v>
      </c>
      <c r="D568" t="s">
        <v>2108</v>
      </c>
    </row>
    <row r="569" spans="3:13">
      <c r="C569" t="s">
        <v>210</v>
      </c>
      <c r="D569" t="s">
        <v>2109</v>
      </c>
    </row>
    <row r="570" spans="3:13">
      <c r="C570" t="s">
        <v>210</v>
      </c>
      <c r="D570" t="s">
        <v>2110</v>
      </c>
    </row>
    <row r="571" spans="3:13">
      <c r="C571" t="s">
        <v>210</v>
      </c>
      <c r="D571" t="s">
        <v>3375</v>
      </c>
    </row>
    <row r="572" spans="3:13">
      <c r="C572" t="s">
        <v>210</v>
      </c>
      <c r="D572" t="s">
        <v>3376</v>
      </c>
    </row>
    <row r="573" spans="3:13">
      <c r="C573" t="s">
        <v>210</v>
      </c>
      <c r="D573" t="s">
        <v>3377</v>
      </c>
    </row>
    <row r="574" spans="3:13">
      <c r="C574" t="s">
        <v>210</v>
      </c>
      <c r="D574" t="s">
        <v>3378</v>
      </c>
    </row>
    <row r="575" spans="3:13">
      <c r="C575" t="s">
        <v>210</v>
      </c>
      <c r="D575" t="s">
        <v>3379</v>
      </c>
    </row>
    <row r="576" spans="3:13">
      <c r="C576" t="s">
        <v>210</v>
      </c>
      <c r="D576" t="s">
        <v>3380</v>
      </c>
    </row>
    <row r="577" spans="3:4">
      <c r="C577" t="s">
        <v>210</v>
      </c>
      <c r="D577" t="s">
        <v>3381</v>
      </c>
    </row>
    <row r="578" spans="3:4">
      <c r="C578" t="s">
        <v>210</v>
      </c>
      <c r="D578" t="s">
        <v>3382</v>
      </c>
    </row>
    <row r="579" spans="3:4">
      <c r="C579" t="s">
        <v>210</v>
      </c>
      <c r="D579" t="s">
        <v>3383</v>
      </c>
    </row>
    <row r="580" spans="3:4">
      <c r="C580" t="s">
        <v>210</v>
      </c>
      <c r="D580" t="s">
        <v>3384</v>
      </c>
    </row>
    <row r="581" spans="3:4">
      <c r="C581" t="s">
        <v>210</v>
      </c>
      <c r="D581" t="s">
        <v>3385</v>
      </c>
    </row>
    <row r="582" spans="3:4">
      <c r="C582" t="s">
        <v>230</v>
      </c>
      <c r="D582" t="s">
        <v>2467</v>
      </c>
    </row>
    <row r="583" spans="3:4">
      <c r="C583" t="s">
        <v>230</v>
      </c>
      <c r="D583" t="s">
        <v>2468</v>
      </c>
    </row>
    <row r="584" spans="3:4">
      <c r="C584" t="s">
        <v>230</v>
      </c>
      <c r="D584" t="s">
        <v>2469</v>
      </c>
    </row>
    <row r="585" spans="3:4">
      <c r="C585" t="s">
        <v>230</v>
      </c>
      <c r="D585" t="s">
        <v>2470</v>
      </c>
    </row>
    <row r="586" spans="3:4">
      <c r="C586" t="s">
        <v>230</v>
      </c>
      <c r="D586" t="s">
        <v>3386</v>
      </c>
    </row>
    <row r="587" spans="3:4">
      <c r="C587" t="s">
        <v>181</v>
      </c>
      <c r="D587" t="s">
        <v>2472</v>
      </c>
    </row>
    <row r="588" spans="3:4" ht="150">
      <c r="C588" t="s">
        <v>181</v>
      </c>
      <c r="D588" s="84" t="s">
        <v>2473</v>
      </c>
    </row>
    <row r="589" spans="3:4">
      <c r="C589" t="s">
        <v>181</v>
      </c>
      <c r="D589" t="s">
        <v>2474</v>
      </c>
    </row>
    <row r="590" spans="3:4">
      <c r="C590" t="s">
        <v>181</v>
      </c>
      <c r="D590" t="s">
        <v>2475</v>
      </c>
    </row>
    <row r="591" spans="3:4">
      <c r="C591" t="s">
        <v>181</v>
      </c>
      <c r="D591" t="s">
        <v>2476</v>
      </c>
    </row>
    <row r="592" spans="3:4">
      <c r="C592" t="s">
        <v>181</v>
      </c>
      <c r="D592" t="s">
        <v>2477</v>
      </c>
    </row>
    <row r="593" spans="3:4">
      <c r="C593" t="s">
        <v>181</v>
      </c>
      <c r="D593" t="s">
        <v>2478</v>
      </c>
    </row>
    <row r="594" spans="3:4">
      <c r="C594" t="s">
        <v>181</v>
      </c>
      <c r="D594" t="s">
        <v>2479</v>
      </c>
    </row>
    <row r="595" spans="3:4">
      <c r="C595" t="s">
        <v>181</v>
      </c>
      <c r="D595" t="s">
        <v>2480</v>
      </c>
    </row>
    <row r="596" spans="3:4">
      <c r="C596" t="s">
        <v>181</v>
      </c>
      <c r="D596" t="s">
        <v>2481</v>
      </c>
    </row>
    <row r="597" spans="3:4">
      <c r="C597" t="s">
        <v>181</v>
      </c>
      <c r="D597" t="s">
        <v>2482</v>
      </c>
    </row>
    <row r="598" spans="3:4">
      <c r="C598" t="s">
        <v>181</v>
      </c>
      <c r="D598" t="s">
        <v>3387</v>
      </c>
    </row>
    <row r="599" spans="3:4">
      <c r="C599" t="s">
        <v>181</v>
      </c>
      <c r="D599" t="s">
        <v>3388</v>
      </c>
    </row>
    <row r="600" spans="3:4">
      <c r="C600" t="s">
        <v>231</v>
      </c>
      <c r="D600" t="s">
        <v>2485</v>
      </c>
    </row>
    <row r="601" spans="3:4">
      <c r="C601" t="s">
        <v>231</v>
      </c>
      <c r="D601" t="s">
        <v>2486</v>
      </c>
    </row>
    <row r="602" spans="3:4">
      <c r="C602" t="s">
        <v>231</v>
      </c>
      <c r="D602" t="s">
        <v>2487</v>
      </c>
    </row>
    <row r="603" spans="3:4">
      <c r="C603" t="s">
        <v>231</v>
      </c>
      <c r="D603" t="s">
        <v>2488</v>
      </c>
    </row>
    <row r="604" spans="3:4">
      <c r="C604" t="s">
        <v>231</v>
      </c>
      <c r="D604" t="s">
        <v>3389</v>
      </c>
    </row>
    <row r="605" spans="3:4">
      <c r="C605" t="s">
        <v>231</v>
      </c>
      <c r="D605" t="s">
        <v>3390</v>
      </c>
    </row>
    <row r="606" spans="3:4">
      <c r="C606" t="s">
        <v>231</v>
      </c>
      <c r="D606" t="s">
        <v>3391</v>
      </c>
    </row>
    <row r="607" spans="3:4">
      <c r="C607" t="s">
        <v>232</v>
      </c>
      <c r="D607" t="s">
        <v>2492</v>
      </c>
    </row>
    <row r="608" spans="3:4">
      <c r="C608" t="s">
        <v>232</v>
      </c>
      <c r="D608" t="s">
        <v>2493</v>
      </c>
    </row>
    <row r="609" spans="3:4">
      <c r="C609" t="s">
        <v>232</v>
      </c>
      <c r="D609" t="s">
        <v>2494</v>
      </c>
    </row>
    <row r="610" spans="3:4">
      <c r="C610" t="s">
        <v>232</v>
      </c>
      <c r="D610" t="s">
        <v>2495</v>
      </c>
    </row>
    <row r="611" spans="3:4">
      <c r="C611" t="s">
        <v>232</v>
      </c>
      <c r="D611" t="s">
        <v>3392</v>
      </c>
    </row>
    <row r="612" spans="3:4">
      <c r="C612" t="s">
        <v>233</v>
      </c>
      <c r="D612" t="s">
        <v>2497</v>
      </c>
    </row>
    <row r="613" spans="3:4">
      <c r="C613" t="s">
        <v>233</v>
      </c>
      <c r="D613" t="s">
        <v>2498</v>
      </c>
    </row>
    <row r="614" spans="3:4">
      <c r="C614" t="s">
        <v>233</v>
      </c>
      <c r="D614" t="s">
        <v>2499</v>
      </c>
    </row>
    <row r="615" spans="3:4">
      <c r="C615" t="s">
        <v>233</v>
      </c>
      <c r="D615" t="s">
        <v>2500</v>
      </c>
    </row>
    <row r="616" spans="3:4">
      <c r="C616" t="s">
        <v>233</v>
      </c>
      <c r="D616" t="s">
        <v>3393</v>
      </c>
    </row>
    <row r="617" spans="3:4">
      <c r="C617" t="s">
        <v>233</v>
      </c>
      <c r="D617" t="s">
        <v>3394</v>
      </c>
    </row>
    <row r="618" spans="3:4">
      <c r="C618" t="s">
        <v>233</v>
      </c>
      <c r="D618" t="s">
        <v>3395</v>
      </c>
    </row>
    <row r="619" spans="3:4">
      <c r="C619" t="s">
        <v>233</v>
      </c>
      <c r="D619" t="s">
        <v>3396</v>
      </c>
    </row>
    <row r="620" spans="3:4">
      <c r="C620" t="s">
        <v>233</v>
      </c>
      <c r="D620" t="s">
        <v>3397</v>
      </c>
    </row>
    <row r="621" spans="3:4">
      <c r="C621" t="s">
        <v>234</v>
      </c>
      <c r="D621" t="s">
        <v>2506</v>
      </c>
    </row>
    <row r="622" spans="3:4">
      <c r="C622" t="s">
        <v>234</v>
      </c>
      <c r="D622" t="s">
        <v>2507</v>
      </c>
    </row>
    <row r="623" spans="3:4">
      <c r="C623" t="s">
        <v>234</v>
      </c>
      <c r="D623" t="s">
        <v>2508</v>
      </c>
    </row>
    <row r="624" spans="3:4">
      <c r="C624" t="s">
        <v>234</v>
      </c>
      <c r="D624" t="s">
        <v>2509</v>
      </c>
    </row>
    <row r="625" spans="3:4">
      <c r="C625" t="s">
        <v>235</v>
      </c>
      <c r="D625" t="s">
        <v>2510</v>
      </c>
    </row>
    <row r="626" spans="3:4">
      <c r="C626" t="s">
        <v>235</v>
      </c>
      <c r="D626" t="s">
        <v>2511</v>
      </c>
    </row>
    <row r="627" spans="3:4">
      <c r="C627" t="s">
        <v>235</v>
      </c>
      <c r="D627" t="s">
        <v>2512</v>
      </c>
    </row>
    <row r="628" spans="3:4">
      <c r="C628" t="s">
        <v>235</v>
      </c>
      <c r="D628" t="s">
        <v>2513</v>
      </c>
    </row>
    <row r="629" spans="3:4">
      <c r="C629" t="s">
        <v>235</v>
      </c>
      <c r="D629" t="s">
        <v>3398</v>
      </c>
    </row>
    <row r="630" spans="3:4">
      <c r="C630" t="s">
        <v>235</v>
      </c>
      <c r="D630" t="s">
        <v>3399</v>
      </c>
    </row>
    <row r="631" spans="3:4">
      <c r="C631" t="s">
        <v>425</v>
      </c>
      <c r="D631" t="s">
        <v>2516</v>
      </c>
    </row>
    <row r="632" spans="3:4">
      <c r="C632" t="s">
        <v>425</v>
      </c>
      <c r="D632" t="s">
        <v>2517</v>
      </c>
    </row>
    <row r="633" spans="3:4">
      <c r="C633" t="s">
        <v>425</v>
      </c>
      <c r="D633" t="s">
        <v>2518</v>
      </c>
    </row>
    <row r="634" spans="3:4">
      <c r="C634" t="s">
        <v>425</v>
      </c>
      <c r="D634" t="s">
        <v>2519</v>
      </c>
    </row>
    <row r="635" spans="3:4">
      <c r="C635" t="s">
        <v>425</v>
      </c>
      <c r="D635" t="s">
        <v>3400</v>
      </c>
    </row>
    <row r="636" spans="3:4">
      <c r="C636" t="s">
        <v>236</v>
      </c>
      <c r="D636" t="s">
        <v>2521</v>
      </c>
    </row>
    <row r="637" spans="3:4">
      <c r="C637" t="s">
        <v>236</v>
      </c>
      <c r="D637" t="s">
        <v>2522</v>
      </c>
    </row>
    <row r="638" spans="3:4">
      <c r="C638" t="s">
        <v>236</v>
      </c>
      <c r="D638" t="s">
        <v>2523</v>
      </c>
    </row>
    <row r="639" spans="3:4">
      <c r="C639" t="s">
        <v>236</v>
      </c>
      <c r="D639" t="s">
        <v>2524</v>
      </c>
    </row>
    <row r="640" spans="3:4">
      <c r="C640" t="s">
        <v>236</v>
      </c>
      <c r="D640" t="s">
        <v>3401</v>
      </c>
    </row>
    <row r="641" spans="3:4">
      <c r="C641" t="s">
        <v>236</v>
      </c>
      <c r="D641" t="s">
        <v>3402</v>
      </c>
    </row>
    <row r="642" spans="3:4">
      <c r="C642" t="s">
        <v>236</v>
      </c>
      <c r="D642" t="s">
        <v>3403</v>
      </c>
    </row>
    <row r="643" spans="3:4">
      <c r="C643" t="s">
        <v>236</v>
      </c>
      <c r="D643" t="s">
        <v>3404</v>
      </c>
    </row>
    <row r="644" spans="3:4">
      <c r="C644" t="s">
        <v>236</v>
      </c>
      <c r="D644" t="s">
        <v>3405</v>
      </c>
    </row>
    <row r="645" spans="3:4">
      <c r="C645" t="s">
        <v>236</v>
      </c>
      <c r="D645" t="s">
        <v>3406</v>
      </c>
    </row>
    <row r="646" spans="3:4">
      <c r="C646" t="s">
        <v>188</v>
      </c>
      <c r="D646" t="s">
        <v>2532</v>
      </c>
    </row>
    <row r="647" spans="3:4">
      <c r="C647" t="s">
        <v>188</v>
      </c>
      <c r="D647" t="s">
        <v>2533</v>
      </c>
    </row>
    <row r="648" spans="3:4">
      <c r="C648" t="s">
        <v>188</v>
      </c>
      <c r="D648" t="s">
        <v>2534</v>
      </c>
    </row>
    <row r="649" spans="3:4">
      <c r="C649" t="s">
        <v>188</v>
      </c>
      <c r="D649" t="s">
        <v>2535</v>
      </c>
    </row>
    <row r="650" spans="3:4">
      <c r="C650" t="s">
        <v>188</v>
      </c>
      <c r="D650" t="s">
        <v>3407</v>
      </c>
    </row>
    <row r="651" spans="3:4">
      <c r="C651" t="s">
        <v>188</v>
      </c>
      <c r="D651" t="s">
        <v>3408</v>
      </c>
    </row>
  </sheetData>
  <mergeCells count="3">
    <mergeCell ref="C1:H1"/>
    <mergeCell ref="C353:D353"/>
    <mergeCell ref="F353:J353"/>
  </mergeCells>
  <dataValidations count="5">
    <dataValidation type="custom" allowBlank="1" showInputMessage="1" showErrorMessage="1" sqref="E351 E341:E342 E96:E97 E108:E109 E29:E30 E3:E4 E15 E43:E44 E50:E51 E64:E65 E77:E78 E86:E87 E329:E330 E314:E315 E266:E267 E281:E282 E240:E241 E160:E161 E131:E132 E188:E189 E259:E260 E290:E291 E297:E298 E308:E309 E322:E323">
      <formula1>"Referencia,Servicios"</formula1>
    </dataValidation>
    <dataValidation type="list" allowBlank="1" showInputMessage="1" showErrorMessage="1" sqref="C343:C350 C110:C130 C98:C107 C52:C63 C5:C14 C16:C28 C45:C49 C31:C42 C66:C76 C79:C85 C88:C95 C316:C321 C299:C307 C283:C289 C190:C239 C162:C187 C133:C159 C242:C258 C268:C280 C261:C265 C310:C313 C292:C296 C324:C328 C331:C340">
      <formula1>Grupo</formula1>
    </dataValidation>
    <dataValidation type="list" allowBlank="1" showInputMessage="1" showErrorMessage="1" sqref="D343:D350 D110:D130 D98:D107 D52:D63 D5:D14 D16:D28 D45:D49 D31:D42 D66:D76 D79:D85 D88:D95 D316:D321 D299:D307 D283:D289 D190:D239 D162:D187 D133:D159 D242:D258 D268:D280 D261:D265 D310:D313 D292:D296 D324:D328 D331:D340">
      <formula1>Estaciones</formula1>
    </dataValidation>
    <dataValidation type="list" allowBlank="1" showInputMessage="1" showErrorMessage="1" sqref="F343:F350 F98:F107 F110:F130 F16:F28 F5:F14 F31:F42 F45:F49 F52:F63 F66:F76 F79:F85 F88:F95 F331:F340 F316:F321 F261:F265 F283:F289 F190:F239 F133:F159 F162:F187 F242:F258 F268:F280 F299:F307 F310:F313 F292:F296 F324:F328">
      <formula1>Clase</formula1>
    </dataValidation>
    <dataValidation type="list" allowBlank="1" showInputMessage="1" showErrorMessage="1" sqref="E343:E350 E98:E107 E110:E130 E31:E42 E5:E14 E16:E28 E45:E49 E52:E63 E66:E76 E79:E85 E88:E95 E331:E340 E316:E321 E283:E289 E261:E265 E190:E239 E133:E159 E162:E187 E242:E258 E268:E280 E299:E307 E310:E313 E292:E296 E324:E328">
      <formula1>"Servicios,Referencia"</formula1>
    </dataValidation>
  </dataValidations>
  <hyperlinks>
    <hyperlink ref="I6" r:id="rId1" display="http://toolserver.org/~geohack/geohack.php?pagename=Cuatro_Caminos_(estaci%C3%B3n_Metro_de_Ciudad_de_M%C3%A9xico)&amp;language=es&amp;params=19.459592_N_99.215899_W_"/>
    <hyperlink ref="I17" r:id="rId2" display="http://toolserver.org/~geohack/geohack.php?pagename=Panteones_(estaci%C3%B3n)&amp;language=es&amp;params=19.458763_N_99.203153_W_"/>
    <hyperlink ref="I32" r:id="rId3" display="http://toolserver.org/~geohack/geohack.php?pagename=Tacuba_(estaci%C3%B3n)&amp;language=es&amp;params=19.459349_N_99.189205_W_"/>
    <hyperlink ref="I46" r:id="rId4" display="http://toolserver.org/~geohack/geohack.php?pagename=Cuitl%C3%A1huac_(estaci%C3%B3n)&amp;language=es&amp;params=19.457448_N_99.182038_W_"/>
    <hyperlink ref="I53" r:id="rId5" display="http://toolserver.org/~geohack/geohack.php?pagename=Popotla_(estaci%C3%B3n)&amp;language=es&amp;params=19.452147_N_99.1747_W_"/>
    <hyperlink ref="I67" r:id="rId6" display="http://toolserver.org/~geohack/geohack.php?pagename=Colegio_Militar_(estaci%C3%B3n)&amp;language=es&amp;params=19.449354_N_99.172254_W_"/>
    <hyperlink ref="I89" r:id="rId7" display="http://toolserver.org/~geohack/geohack.php?pagename=San_Cosme_(estaci%C3%B3n)&amp;language=es&amp;params=19.441706_N_99.161096_W_"/>
    <hyperlink ref="I80" r:id="rId8" display="http://toolserver.org/~geohack/geohack.php?pagename=Normal_(estaci%C3%B3n)&amp;language=es&amp;params=19.4444_N_99.1674_W_"/>
    <hyperlink ref="I99" r:id="rId9" display="http://toolserver.org/~geohack/geohack.php?pagename=Revoluci%C3%B3n_(estaci%C3%B3n)&amp;language=es&amp;params=19.441706_N_99.161096_W_"/>
    <hyperlink ref="I111" r:id="rId10" display="http://toolserver.org/~geohack/geohack.php?pagename=Hidalgo_(estaci%C3%B3n)&amp;language=es&amp;params=19.437295_N_99.147105_W_region:MX_type:railwaystation"/>
    <hyperlink ref="I134" r:id="rId11" display="http://toolserver.org/~geohack/geohack.php?pagename=Bellas_Artes_(estaci%C3%B3n_Metro_de_Ciudad_de_M%C3%A9xico)&amp;language=es&amp;params=19.436243_N_99.141945_W_region:MX_type:railwaystation"/>
    <hyperlink ref="I163" r:id="rId12" display="http://toolserver.org/~geohack/geohack.php?pagename=Allende_(estaci%C3%B3n)&amp;language=es&amp;params=19.435514_N_99.137406_W_"/>
    <hyperlink ref="I191" r:id="rId13" display="http://toolserver.org/~geohack/geohack.php?pagename=Z%C3%B3calo_(estaci%C3%B3n)&amp;language=es&amp;params=19.433248_N_99.1329_W_"/>
    <hyperlink ref="I243" r:id="rId14" display="http://toolserver.org/~geohack/geohack.php?pagename=Pino_Su%C3%A1rez_(estaci%C3%B3n)&amp;language=es&amp;params=19.425336_N_99.132943_W_region:MX_type:railwaystation"/>
    <hyperlink ref="I262" r:id="rId15" display="http://toolserver.org/~geohack/geohack.php?pagename=San_Antonio_Abad_(estaci%C3%B3n)&amp;language=es&amp;params=19.418597_N_99.134145_W_"/>
    <hyperlink ref="I269" r:id="rId16" display="http://toolserver.org/~geohack/geohack.php?pagename=Chabacano_(estaci%C3%B3n)&amp;language=es&amp;params=19.406438_N_99.135754_W_region:MX_type:railwaystation"/>
    <hyperlink ref="I284" r:id="rId17" display="http://toolserver.org/~geohack/geohack.php?pagename=Viaducto_(estaci%C3%B3n)&amp;language=es&amp;params=19.400808_N_99.136891_W_"/>
    <hyperlink ref="I293" r:id="rId18" display="http://toolserver.org/~geohack/geohack.php?pagename=Xola_(estaci%C3%B3n)&amp;language=es&amp;params=19.3952_N_99.1377_W_"/>
    <hyperlink ref="I300" r:id="rId19" display="http://toolserver.org/~geohack/geohack.php?pagename=Villa_de_Cort%C3%A9s_(estaci%C3%B3n)&amp;language=es&amp;params=19.38753_N_99.138994_W_"/>
    <hyperlink ref="I311" r:id="rId20" display="http://toolserver.org/~geohack/geohack.php?pagename=Nativitas_(estaci%C3%B3n)&amp;language=es&amp;params=19.379474_N_99.140217_W_"/>
    <hyperlink ref="I317" r:id="rId21" display="http://toolserver.org/~geohack/geohack.php?pagename=Portales_(estaci%C3%B3n_Metro_de_Ciudad_de_M%C3%A9xico)&amp;language=es&amp;params=19.3698_N_99.1416_W_"/>
    <hyperlink ref="I325" r:id="rId22" display="http://toolserver.org/~geohack/geohack.php?pagename=Ermita_(estaci%C3%B3n)&amp;language=es&amp;params=19.361883_N_99.142942_W_region:MX_type:railwaystation"/>
    <hyperlink ref="I332" r:id="rId23" display="http://toolserver.org/~geohack/geohack.php?pagename=General_Anaya_(estaci%C3%B3n)&amp;language=es&amp;params=19.353259_N_99.145002_W_"/>
    <hyperlink ref="I344" r:id="rId24" display="http://toolserver.org/~geohack/geohack.php?pagename=Tasque%C3%B1a_(estaci%C3%B3n)&amp;language=es&amp;params=19.344168_N_99.142685_W_"/>
  </hyperlinks>
  <pageMargins left="0.7" right="0.7" top="0.75" bottom="0.75" header="0.3" footer="0.3"/>
  <legacyDrawing r:id="rId25"/>
</worksheet>
</file>

<file path=xl/worksheets/sheet13.xml><?xml version="1.0" encoding="utf-8"?>
<worksheet xmlns="http://schemas.openxmlformats.org/spreadsheetml/2006/main" xmlns:r="http://schemas.openxmlformats.org/officeDocument/2006/relationships">
  <sheetPr codeName="Hoja17"/>
  <dimension ref="B1:K332"/>
  <sheetViews>
    <sheetView topLeftCell="A184" zoomScale="85" zoomScaleNormal="85" workbookViewId="0">
      <selection activeCell="G161" sqref="G161"/>
    </sheetView>
  </sheetViews>
  <sheetFormatPr baseColWidth="10" defaultRowHeight="15"/>
  <cols>
    <col min="1" max="1" width="3" customWidth="1"/>
    <col min="2" max="2" width="4.7109375" bestFit="1" customWidth="1"/>
    <col min="3" max="3" width="20" bestFit="1" customWidth="1"/>
    <col min="4" max="4" width="21.28515625" bestFit="1" customWidth="1"/>
    <col min="5" max="5" width="11" style="80"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211</v>
      </c>
      <c r="C3" s="33" t="s">
        <v>2</v>
      </c>
      <c r="D3" s="34" t="s">
        <v>1</v>
      </c>
      <c r="E3" s="34" t="s">
        <v>862</v>
      </c>
      <c r="F3" s="34" t="s">
        <v>863</v>
      </c>
      <c r="G3" s="34" t="s">
        <v>864</v>
      </c>
      <c r="H3" s="35" t="s">
        <v>358</v>
      </c>
    </row>
    <row r="4" spans="2:9" s="25" customFormat="1" ht="9" customHeight="1" thickBot="1">
      <c r="B4" s="46"/>
      <c r="C4" s="37"/>
      <c r="D4" s="37"/>
      <c r="E4" s="37"/>
      <c r="F4" s="37"/>
      <c r="G4" s="38"/>
      <c r="H4" s="39"/>
    </row>
    <row r="5" spans="2:9" s="25" customFormat="1" ht="16.5" thickBot="1">
      <c r="B5" s="40">
        <v>1</v>
      </c>
      <c r="C5" s="27" t="s">
        <v>391</v>
      </c>
      <c r="D5" s="29" t="s">
        <v>189</v>
      </c>
      <c r="E5" s="27" t="s">
        <v>865</v>
      </c>
      <c r="F5" s="27" t="s">
        <v>866</v>
      </c>
      <c r="G5" s="26"/>
      <c r="H5" s="87" t="s">
        <v>2543</v>
      </c>
    </row>
    <row r="6" spans="2:9" s="25" customFormat="1" ht="16.5" thickBot="1">
      <c r="B6" s="40">
        <f t="shared" ref="B6:B94" si="0">B5+1</f>
        <v>2</v>
      </c>
      <c r="C6" s="27" t="s">
        <v>391</v>
      </c>
      <c r="D6" s="29" t="s">
        <v>189</v>
      </c>
      <c r="E6" s="27" t="s">
        <v>865</v>
      </c>
      <c r="F6" s="27" t="s">
        <v>1728</v>
      </c>
      <c r="G6" s="26"/>
      <c r="H6" s="88" t="s">
        <v>2539</v>
      </c>
      <c r="I6" s="50"/>
    </row>
    <row r="7" spans="2:9" s="25" customFormat="1" ht="16.5" thickBot="1">
      <c r="B7" s="40">
        <f t="shared" si="0"/>
        <v>3</v>
      </c>
      <c r="C7" s="27" t="s">
        <v>391</v>
      </c>
      <c r="D7" s="29" t="s">
        <v>189</v>
      </c>
      <c r="E7" s="27" t="s">
        <v>865</v>
      </c>
      <c r="F7" s="27" t="s">
        <v>1333</v>
      </c>
      <c r="G7" s="27" t="s">
        <v>989</v>
      </c>
      <c r="H7" s="89" t="s">
        <v>2540</v>
      </c>
    </row>
    <row r="8" spans="2:9" s="25" customFormat="1" ht="16.5" thickBot="1">
      <c r="B8" s="40">
        <f t="shared" si="0"/>
        <v>4</v>
      </c>
      <c r="C8" s="27" t="s">
        <v>391</v>
      </c>
      <c r="D8" s="29" t="s">
        <v>189</v>
      </c>
      <c r="E8" s="27" t="s">
        <v>865</v>
      </c>
      <c r="F8" s="27" t="s">
        <v>1333</v>
      </c>
      <c r="G8" s="27" t="s">
        <v>921</v>
      </c>
      <c r="H8" s="89" t="s">
        <v>2541</v>
      </c>
    </row>
    <row r="9" spans="2:9" s="25" customFormat="1" ht="16.5" thickBot="1">
      <c r="B9" s="40">
        <f t="shared" si="0"/>
        <v>5</v>
      </c>
      <c r="C9" s="27" t="s">
        <v>391</v>
      </c>
      <c r="D9" s="29" t="s">
        <v>189</v>
      </c>
      <c r="E9" s="27" t="s">
        <v>865</v>
      </c>
      <c r="F9" s="27"/>
      <c r="G9" s="49" t="s">
        <v>3475</v>
      </c>
      <c r="H9" s="90" t="s">
        <v>3474</v>
      </c>
    </row>
    <row r="10" spans="2:9" s="25" customFormat="1" ht="16.5" thickBot="1">
      <c r="B10" s="40">
        <f t="shared" si="0"/>
        <v>6</v>
      </c>
      <c r="C10" s="27" t="s">
        <v>391</v>
      </c>
      <c r="D10" s="29" t="s">
        <v>189</v>
      </c>
      <c r="E10" s="27" t="s">
        <v>865</v>
      </c>
      <c r="F10" s="27"/>
      <c r="G10" s="49" t="s">
        <v>3476</v>
      </c>
      <c r="H10" s="95" t="s">
        <v>3857</v>
      </c>
    </row>
    <row r="11" spans="2:9" s="25" customFormat="1" ht="16.5" thickBot="1">
      <c r="B11" s="40">
        <f t="shared" si="0"/>
        <v>7</v>
      </c>
      <c r="C11" s="27" t="s">
        <v>391</v>
      </c>
      <c r="D11" s="29" t="s">
        <v>189</v>
      </c>
      <c r="E11" s="27" t="s">
        <v>865</v>
      </c>
      <c r="F11" s="27"/>
      <c r="G11" s="49" t="s">
        <v>3478</v>
      </c>
      <c r="H11" s="95" t="s">
        <v>3477</v>
      </c>
    </row>
    <row r="12" spans="2:9" s="25" customFormat="1" ht="16.5" thickBot="1">
      <c r="B12" s="40">
        <f t="shared" si="0"/>
        <v>8</v>
      </c>
      <c r="C12" s="27" t="s">
        <v>391</v>
      </c>
      <c r="D12" s="29" t="s">
        <v>189</v>
      </c>
      <c r="E12" s="27" t="s">
        <v>865</v>
      </c>
      <c r="F12" s="27"/>
      <c r="G12" s="49" t="s">
        <v>3480</v>
      </c>
      <c r="H12" s="95" t="s">
        <v>3479</v>
      </c>
    </row>
    <row r="13" spans="2:9" s="25" customFormat="1" ht="16.5" thickBot="1">
      <c r="B13" s="40">
        <f t="shared" si="0"/>
        <v>9</v>
      </c>
      <c r="C13" s="27" t="s">
        <v>391</v>
      </c>
      <c r="D13" s="29" t="s">
        <v>189</v>
      </c>
      <c r="E13" s="27" t="s">
        <v>865</v>
      </c>
      <c r="F13" s="27"/>
      <c r="G13" s="49" t="s">
        <v>3481</v>
      </c>
      <c r="H13" s="95" t="s">
        <v>3482</v>
      </c>
    </row>
    <row r="14" spans="2:9" s="25" customFormat="1" ht="16.5" thickBot="1">
      <c r="B14" s="40">
        <f t="shared" si="0"/>
        <v>10</v>
      </c>
      <c r="C14" s="27" t="s">
        <v>391</v>
      </c>
      <c r="D14" s="29" t="s">
        <v>189</v>
      </c>
      <c r="E14" s="27" t="s">
        <v>865</v>
      </c>
      <c r="F14" s="27"/>
      <c r="G14" s="49" t="s">
        <v>3484</v>
      </c>
      <c r="H14" s="95" t="s">
        <v>3483</v>
      </c>
    </row>
    <row r="15" spans="2:9" s="25" customFormat="1" ht="16.5" thickBot="1">
      <c r="B15" s="40">
        <f t="shared" si="0"/>
        <v>11</v>
      </c>
      <c r="C15" s="27" t="s">
        <v>391</v>
      </c>
      <c r="D15" s="29" t="s">
        <v>189</v>
      </c>
      <c r="E15" s="27" t="s">
        <v>865</v>
      </c>
      <c r="F15" s="27"/>
      <c r="G15" s="49" t="s">
        <v>3486</v>
      </c>
      <c r="H15" s="95" t="s">
        <v>3485</v>
      </c>
    </row>
    <row r="16" spans="2:9" s="25" customFormat="1" ht="16.5" thickBot="1">
      <c r="B16" s="40">
        <f t="shared" si="0"/>
        <v>12</v>
      </c>
      <c r="C16" s="27" t="s">
        <v>391</v>
      </c>
      <c r="D16" s="29" t="s">
        <v>189</v>
      </c>
      <c r="E16" s="27" t="s">
        <v>865</v>
      </c>
      <c r="F16" s="27"/>
      <c r="G16" s="49" t="s">
        <v>3488</v>
      </c>
      <c r="H16" s="95" t="s">
        <v>3487</v>
      </c>
    </row>
    <row r="17" spans="2:9" s="25" customFormat="1" ht="9" customHeight="1" thickBot="1">
      <c r="B17" s="56">
        <f t="shared" si="0"/>
        <v>13</v>
      </c>
      <c r="C17" s="54"/>
      <c r="D17" s="54"/>
      <c r="E17" s="54"/>
      <c r="F17" s="54"/>
      <c r="G17" s="54"/>
      <c r="H17" s="91"/>
    </row>
    <row r="18" spans="2:9" s="25" customFormat="1" ht="9" customHeight="1" thickBot="1">
      <c r="B18" s="23">
        <f t="shared" si="0"/>
        <v>14</v>
      </c>
      <c r="C18" s="37"/>
      <c r="D18" s="37"/>
      <c r="E18" s="37"/>
      <c r="F18" s="37"/>
      <c r="G18" s="38"/>
      <c r="H18" s="96"/>
    </row>
    <row r="19" spans="2:9" s="25" customFormat="1" ht="16.5" thickBot="1">
      <c r="B19" s="40">
        <f t="shared" si="0"/>
        <v>15</v>
      </c>
      <c r="C19" s="27" t="s">
        <v>391</v>
      </c>
      <c r="D19" s="29" t="s">
        <v>171</v>
      </c>
      <c r="E19" s="27" t="s">
        <v>865</v>
      </c>
      <c r="F19" s="27" t="s">
        <v>866</v>
      </c>
      <c r="G19" s="62"/>
      <c r="H19" s="88" t="s">
        <v>2544</v>
      </c>
    </row>
    <row r="20" spans="2:9" s="25" customFormat="1" ht="16.5" thickBot="1">
      <c r="B20" s="40">
        <f t="shared" si="0"/>
        <v>16</v>
      </c>
      <c r="C20" s="27" t="s">
        <v>391</v>
      </c>
      <c r="D20" s="29" t="s">
        <v>171</v>
      </c>
      <c r="E20" s="27" t="s">
        <v>865</v>
      </c>
      <c r="F20" s="27" t="s">
        <v>1728</v>
      </c>
      <c r="G20" s="26"/>
      <c r="H20" s="88" t="s">
        <v>3858</v>
      </c>
      <c r="I20" s="50" t="s">
        <v>2542</v>
      </c>
    </row>
    <row r="21" spans="2:9" s="25" customFormat="1" ht="16.5" thickBot="1">
      <c r="B21" s="40">
        <f t="shared" si="0"/>
        <v>17</v>
      </c>
      <c r="C21" s="27" t="s">
        <v>391</v>
      </c>
      <c r="D21" s="29" t="s">
        <v>171</v>
      </c>
      <c r="E21" s="27" t="s">
        <v>865</v>
      </c>
      <c r="F21" s="27" t="s">
        <v>1333</v>
      </c>
      <c r="G21" s="27" t="s">
        <v>2546</v>
      </c>
      <c r="H21" s="88" t="s">
        <v>2545</v>
      </c>
    </row>
    <row r="22" spans="2:9" s="25" customFormat="1" ht="16.5" thickBot="1">
      <c r="B22" s="40">
        <f t="shared" si="0"/>
        <v>18</v>
      </c>
      <c r="C22" s="27" t="s">
        <v>391</v>
      </c>
      <c r="D22" s="29" t="s">
        <v>171</v>
      </c>
      <c r="E22" s="27" t="s">
        <v>865</v>
      </c>
      <c r="F22" s="27" t="s">
        <v>1333</v>
      </c>
      <c r="G22" s="27" t="s">
        <v>2547</v>
      </c>
      <c r="H22" s="88" t="s">
        <v>2545</v>
      </c>
    </row>
    <row r="23" spans="2:9" s="25" customFormat="1" ht="16.5" thickBot="1">
      <c r="B23" s="40">
        <f t="shared" si="0"/>
        <v>19</v>
      </c>
      <c r="C23" s="27" t="s">
        <v>391</v>
      </c>
      <c r="D23" s="29" t="s">
        <v>171</v>
      </c>
      <c r="E23" s="27" t="s">
        <v>865</v>
      </c>
      <c r="F23" s="27" t="s">
        <v>1333</v>
      </c>
      <c r="G23" s="27" t="s">
        <v>2548</v>
      </c>
      <c r="H23" s="88" t="s">
        <v>2545</v>
      </c>
    </row>
    <row r="24" spans="2:9" s="25" customFormat="1" ht="16.5" thickBot="1">
      <c r="B24" s="40">
        <f t="shared" si="0"/>
        <v>20</v>
      </c>
      <c r="C24" s="27" t="s">
        <v>391</v>
      </c>
      <c r="D24" s="29" t="s">
        <v>171</v>
      </c>
      <c r="E24" s="27" t="s">
        <v>865</v>
      </c>
      <c r="F24" s="27" t="s">
        <v>1333</v>
      </c>
      <c r="G24" s="27" t="s">
        <v>2550</v>
      </c>
      <c r="H24" s="88" t="s">
        <v>2549</v>
      </c>
    </row>
    <row r="25" spans="2:9" s="25" customFormat="1" ht="16.5" thickBot="1">
      <c r="B25" s="40">
        <f t="shared" si="0"/>
        <v>21</v>
      </c>
      <c r="C25" s="27" t="s">
        <v>391</v>
      </c>
      <c r="D25" s="29" t="s">
        <v>171</v>
      </c>
      <c r="E25" s="27" t="s">
        <v>865</v>
      </c>
      <c r="F25" s="27"/>
      <c r="G25" s="27" t="s">
        <v>419</v>
      </c>
      <c r="H25" s="88" t="s">
        <v>3490</v>
      </c>
    </row>
    <row r="26" spans="2:9" s="25" customFormat="1" ht="16.5" thickBot="1">
      <c r="B26" s="40">
        <f t="shared" si="0"/>
        <v>22</v>
      </c>
      <c r="C26" s="27" t="s">
        <v>391</v>
      </c>
      <c r="D26" s="29" t="s">
        <v>171</v>
      </c>
      <c r="E26" s="27" t="s">
        <v>880</v>
      </c>
      <c r="F26" s="49" t="s">
        <v>1780</v>
      </c>
      <c r="G26" s="27" t="s">
        <v>3489</v>
      </c>
      <c r="H26" s="88" t="s">
        <v>3859</v>
      </c>
    </row>
    <row r="27" spans="2:9" s="25" customFormat="1" ht="9" customHeight="1" thickBot="1">
      <c r="B27" s="56">
        <f t="shared" si="0"/>
        <v>23</v>
      </c>
      <c r="C27" s="57"/>
      <c r="D27" s="57"/>
      <c r="E27" s="57"/>
      <c r="F27" s="57"/>
      <c r="G27" s="57"/>
      <c r="H27" s="94"/>
    </row>
    <row r="28" spans="2:9" s="25" customFormat="1" ht="9" customHeight="1" thickBot="1">
      <c r="B28" s="23">
        <f t="shared" si="0"/>
        <v>24</v>
      </c>
      <c r="C28" s="37"/>
      <c r="D28" s="37"/>
      <c r="E28" s="37"/>
      <c r="F28" s="37"/>
      <c r="G28" s="38"/>
      <c r="H28" s="94"/>
    </row>
    <row r="29" spans="2:9" s="25" customFormat="1" ht="16.5" thickBot="1">
      <c r="B29" s="40">
        <f t="shared" si="0"/>
        <v>25</v>
      </c>
      <c r="C29" s="27" t="s">
        <v>391</v>
      </c>
      <c r="D29" s="29" t="s">
        <v>237</v>
      </c>
      <c r="E29" s="27" t="s">
        <v>865</v>
      </c>
      <c r="F29" s="27" t="s">
        <v>866</v>
      </c>
      <c r="G29" s="26"/>
      <c r="H29" s="88" t="s">
        <v>2552</v>
      </c>
    </row>
    <row r="30" spans="2:9" s="25" customFormat="1" ht="16.5" thickBot="1">
      <c r="B30" s="40">
        <f t="shared" si="0"/>
        <v>26</v>
      </c>
      <c r="C30" s="27" t="s">
        <v>391</v>
      </c>
      <c r="D30" s="29" t="s">
        <v>237</v>
      </c>
      <c r="E30" s="27" t="s">
        <v>865</v>
      </c>
      <c r="F30" s="27" t="s">
        <v>1728</v>
      </c>
      <c r="G30" s="26"/>
      <c r="H30" s="88" t="s">
        <v>3860</v>
      </c>
      <c r="I30" s="50" t="s">
        <v>2551</v>
      </c>
    </row>
    <row r="31" spans="2:9" s="25" customFormat="1" ht="16.5" thickBot="1">
      <c r="B31" s="40">
        <f t="shared" si="0"/>
        <v>27</v>
      </c>
      <c r="C31" s="27" t="s">
        <v>391</v>
      </c>
      <c r="D31" s="29" t="s">
        <v>237</v>
      </c>
      <c r="E31" s="27" t="s">
        <v>865</v>
      </c>
      <c r="F31" s="27" t="s">
        <v>1333</v>
      </c>
      <c r="G31" s="27" t="s">
        <v>921</v>
      </c>
      <c r="H31" s="88" t="s">
        <v>2554</v>
      </c>
    </row>
    <row r="32" spans="2:9" s="25" customFormat="1" ht="16.5" thickBot="1">
      <c r="B32" s="40">
        <f t="shared" si="0"/>
        <v>28</v>
      </c>
      <c r="C32" s="27" t="s">
        <v>391</v>
      </c>
      <c r="D32" s="29" t="s">
        <v>237</v>
      </c>
      <c r="E32" s="27" t="s">
        <v>865</v>
      </c>
      <c r="F32" s="27" t="s">
        <v>1333</v>
      </c>
      <c r="G32" s="27" t="s">
        <v>923</v>
      </c>
      <c r="H32" s="88" t="s">
        <v>2553</v>
      </c>
    </row>
    <row r="33" spans="2:9" s="25" customFormat="1" ht="16.5" thickBot="1">
      <c r="B33" s="40">
        <f t="shared" si="0"/>
        <v>29</v>
      </c>
      <c r="C33" s="27" t="s">
        <v>391</v>
      </c>
      <c r="D33" s="29" t="s">
        <v>237</v>
      </c>
      <c r="E33" s="27" t="s">
        <v>865</v>
      </c>
      <c r="F33" s="68"/>
      <c r="G33" s="27" t="s">
        <v>989</v>
      </c>
      <c r="H33" s="88" t="s">
        <v>3861</v>
      </c>
    </row>
    <row r="34" spans="2:9" s="25" customFormat="1" ht="16.5" thickBot="1">
      <c r="B34" s="40">
        <f t="shared" si="0"/>
        <v>30</v>
      </c>
      <c r="C34" s="27" t="s">
        <v>391</v>
      </c>
      <c r="D34" s="29" t="s">
        <v>237</v>
      </c>
      <c r="E34" s="27" t="s">
        <v>865</v>
      </c>
      <c r="F34" s="70"/>
      <c r="G34" s="49" t="s">
        <v>992</v>
      </c>
      <c r="H34" s="101" t="s">
        <v>3862</v>
      </c>
    </row>
    <row r="35" spans="2:9" s="25" customFormat="1" ht="16.5" thickBot="1">
      <c r="B35" s="40">
        <f t="shared" si="0"/>
        <v>31</v>
      </c>
      <c r="C35" s="27" t="s">
        <v>391</v>
      </c>
      <c r="D35" s="29" t="s">
        <v>237</v>
      </c>
      <c r="E35" s="49" t="s">
        <v>880</v>
      </c>
      <c r="F35" s="49" t="s">
        <v>1780</v>
      </c>
      <c r="G35" s="27" t="s">
        <v>3491</v>
      </c>
      <c r="H35" s="87" t="s">
        <v>3859</v>
      </c>
    </row>
    <row r="36" spans="2:9" s="25" customFormat="1" ht="9" customHeight="1" thickBot="1">
      <c r="B36" s="23">
        <f t="shared" si="0"/>
        <v>32</v>
      </c>
      <c r="C36" s="43"/>
      <c r="D36" s="43"/>
      <c r="E36" s="43"/>
      <c r="F36" s="43"/>
      <c r="G36" s="43"/>
      <c r="H36" s="94"/>
    </row>
    <row r="37" spans="2:9" s="25" customFormat="1" ht="9" customHeight="1" thickBot="1">
      <c r="B37" s="23">
        <f t="shared" si="0"/>
        <v>33</v>
      </c>
      <c r="C37" s="37"/>
      <c r="D37" s="37"/>
      <c r="E37" s="37"/>
      <c r="F37" s="37"/>
      <c r="G37" s="38"/>
      <c r="H37" s="94"/>
    </row>
    <row r="38" spans="2:9" s="25" customFormat="1" ht="16.5" thickBot="1">
      <c r="B38" s="40">
        <f t="shared" si="0"/>
        <v>34</v>
      </c>
      <c r="C38" s="27" t="s">
        <v>391</v>
      </c>
      <c r="D38" s="29" t="s">
        <v>238</v>
      </c>
      <c r="E38" s="27" t="s">
        <v>865</v>
      </c>
      <c r="F38" s="27" t="s">
        <v>866</v>
      </c>
      <c r="G38" s="26"/>
      <c r="H38" s="88" t="s">
        <v>2558</v>
      </c>
    </row>
    <row r="39" spans="2:9" s="25" customFormat="1" ht="32.25" thickBot="1">
      <c r="B39" s="40">
        <f t="shared" si="0"/>
        <v>35</v>
      </c>
      <c r="C39" s="27" t="s">
        <v>391</v>
      </c>
      <c r="D39" s="29" t="s">
        <v>238</v>
      </c>
      <c r="E39" s="27" t="s">
        <v>865</v>
      </c>
      <c r="F39" s="27" t="s">
        <v>1728</v>
      </c>
      <c r="G39" s="26"/>
      <c r="H39" s="89" t="s">
        <v>3863</v>
      </c>
      <c r="I39" s="50" t="s">
        <v>2557</v>
      </c>
    </row>
    <row r="40" spans="2:9" s="25" customFormat="1" ht="16.5" thickBot="1">
      <c r="B40" s="40">
        <f t="shared" si="0"/>
        <v>36</v>
      </c>
      <c r="C40" s="27" t="s">
        <v>391</v>
      </c>
      <c r="D40" s="29" t="s">
        <v>238</v>
      </c>
      <c r="E40" s="27" t="s">
        <v>865</v>
      </c>
      <c r="F40" s="27" t="s">
        <v>1333</v>
      </c>
      <c r="G40" s="27" t="s">
        <v>2560</v>
      </c>
      <c r="H40" s="89" t="s">
        <v>2559</v>
      </c>
    </row>
    <row r="41" spans="2:9" s="25" customFormat="1" ht="16.5" thickBot="1">
      <c r="B41" s="40">
        <f t="shared" si="0"/>
        <v>37</v>
      </c>
      <c r="C41" s="27" t="s">
        <v>391</v>
      </c>
      <c r="D41" s="29" t="s">
        <v>238</v>
      </c>
      <c r="E41" s="27" t="s">
        <v>865</v>
      </c>
      <c r="F41" s="27" t="s">
        <v>1333</v>
      </c>
      <c r="G41" s="27" t="s">
        <v>2548</v>
      </c>
      <c r="H41" s="89" t="s">
        <v>2559</v>
      </c>
    </row>
    <row r="42" spans="2:9" s="25" customFormat="1" ht="16.5" thickBot="1">
      <c r="B42" s="40">
        <f t="shared" si="0"/>
        <v>38</v>
      </c>
      <c r="C42" s="27" t="s">
        <v>391</v>
      </c>
      <c r="D42" s="29" t="s">
        <v>238</v>
      </c>
      <c r="E42" s="27" t="s">
        <v>865</v>
      </c>
      <c r="F42" s="27" t="s">
        <v>1333</v>
      </c>
      <c r="G42" s="27" t="s">
        <v>1050</v>
      </c>
      <c r="H42" s="89" t="s">
        <v>2561</v>
      </c>
    </row>
    <row r="43" spans="2:9" s="25" customFormat="1" ht="16.5" thickBot="1">
      <c r="B43" s="40">
        <f t="shared" si="0"/>
        <v>39</v>
      </c>
      <c r="C43" s="27" t="s">
        <v>391</v>
      </c>
      <c r="D43" s="29" t="s">
        <v>238</v>
      </c>
      <c r="E43" s="27" t="s">
        <v>865</v>
      </c>
      <c r="F43" s="27" t="s">
        <v>1333</v>
      </c>
      <c r="G43" s="27" t="s">
        <v>967</v>
      </c>
      <c r="H43" s="89" t="s">
        <v>2562</v>
      </c>
    </row>
    <row r="44" spans="2:9" s="25" customFormat="1" ht="16.5" thickBot="1">
      <c r="B44" s="40">
        <f t="shared" si="0"/>
        <v>40</v>
      </c>
      <c r="C44" s="27" t="s">
        <v>391</v>
      </c>
      <c r="D44" s="29" t="s">
        <v>238</v>
      </c>
      <c r="E44" s="27" t="s">
        <v>865</v>
      </c>
      <c r="F44" s="27" t="s">
        <v>1333</v>
      </c>
      <c r="G44" s="27" t="s">
        <v>2564</v>
      </c>
      <c r="H44" s="89" t="s">
        <v>2563</v>
      </c>
    </row>
    <row r="45" spans="2:9" s="25" customFormat="1" ht="16.5" thickBot="1">
      <c r="B45" s="40">
        <f t="shared" si="0"/>
        <v>41</v>
      </c>
      <c r="C45" s="27" t="s">
        <v>391</v>
      </c>
      <c r="D45" s="29" t="s">
        <v>238</v>
      </c>
      <c r="E45" s="27" t="s">
        <v>865</v>
      </c>
      <c r="F45" s="27"/>
      <c r="G45" s="27" t="s">
        <v>2555</v>
      </c>
      <c r="H45" s="89" t="s">
        <v>3493</v>
      </c>
    </row>
    <row r="46" spans="2:9" s="25" customFormat="1" ht="16.5" thickBot="1">
      <c r="B46" s="40">
        <f t="shared" si="0"/>
        <v>42</v>
      </c>
      <c r="C46" s="27" t="s">
        <v>391</v>
      </c>
      <c r="D46" s="29" t="s">
        <v>238</v>
      </c>
      <c r="E46" s="27" t="s">
        <v>865</v>
      </c>
      <c r="F46" s="27"/>
      <c r="G46" s="27" t="s">
        <v>2556</v>
      </c>
      <c r="H46" s="89" t="s">
        <v>3494</v>
      </c>
    </row>
    <row r="47" spans="2:9" s="25" customFormat="1" ht="16.5" thickBot="1">
      <c r="B47" s="40">
        <f t="shared" si="0"/>
        <v>43</v>
      </c>
      <c r="C47" s="27" t="s">
        <v>391</v>
      </c>
      <c r="D47" s="29" t="s">
        <v>238</v>
      </c>
      <c r="E47" s="27" t="s">
        <v>880</v>
      </c>
      <c r="F47" s="49" t="s">
        <v>1780</v>
      </c>
      <c r="G47" s="27" t="s">
        <v>3492</v>
      </c>
      <c r="H47" s="88" t="s">
        <v>3859</v>
      </c>
    </row>
    <row r="48" spans="2:9" s="25" customFormat="1" ht="16.5" thickBot="1">
      <c r="B48" s="40">
        <f>B47+1</f>
        <v>44</v>
      </c>
      <c r="C48" s="27" t="s">
        <v>391</v>
      </c>
      <c r="D48" s="29" t="s">
        <v>238</v>
      </c>
      <c r="E48" s="49" t="s">
        <v>880</v>
      </c>
      <c r="F48" s="49" t="s">
        <v>1780</v>
      </c>
      <c r="G48" s="27" t="s">
        <v>3492</v>
      </c>
      <c r="H48" s="88" t="s">
        <v>3864</v>
      </c>
    </row>
    <row r="49" spans="2:9" s="25" customFormat="1" ht="9" customHeight="1" thickBot="1">
      <c r="B49" s="23">
        <f t="shared" si="0"/>
        <v>45</v>
      </c>
      <c r="C49" s="43"/>
      <c r="D49" s="43"/>
      <c r="E49" s="43"/>
      <c r="F49" s="43"/>
      <c r="G49" s="43"/>
      <c r="H49" s="94"/>
    </row>
    <row r="50" spans="2:9" s="25" customFormat="1" ht="9" customHeight="1" thickBot="1">
      <c r="B50" s="23">
        <f t="shared" si="0"/>
        <v>46</v>
      </c>
      <c r="C50" s="37"/>
      <c r="D50" s="37"/>
      <c r="E50" s="37"/>
      <c r="F50" s="37"/>
      <c r="G50" s="38"/>
      <c r="H50" s="94"/>
    </row>
    <row r="51" spans="2:9" s="25" customFormat="1" ht="16.5" thickBot="1">
      <c r="B51" s="40">
        <f t="shared" si="0"/>
        <v>47</v>
      </c>
      <c r="C51" s="27" t="s">
        <v>391</v>
      </c>
      <c r="D51" s="29" t="s">
        <v>239</v>
      </c>
      <c r="E51" s="27" t="s">
        <v>865</v>
      </c>
      <c r="F51" s="27" t="s">
        <v>866</v>
      </c>
      <c r="G51" s="26"/>
      <c r="H51" s="88" t="s">
        <v>3865</v>
      </c>
    </row>
    <row r="52" spans="2:9" s="25" customFormat="1" ht="16.5" thickBot="1">
      <c r="B52" s="40">
        <f t="shared" si="0"/>
        <v>48</v>
      </c>
      <c r="C52" s="27" t="s">
        <v>391</v>
      </c>
      <c r="D52" s="29" t="s">
        <v>239</v>
      </c>
      <c r="E52" s="27" t="s">
        <v>865</v>
      </c>
      <c r="F52" s="27" t="s">
        <v>1728</v>
      </c>
      <c r="G52" s="26"/>
      <c r="H52" s="88" t="s">
        <v>3866</v>
      </c>
      <c r="I52" s="50" t="s">
        <v>2567</v>
      </c>
    </row>
    <row r="53" spans="2:9" s="25" customFormat="1" ht="16.5" thickBot="1">
      <c r="B53" s="40">
        <f t="shared" si="0"/>
        <v>49</v>
      </c>
      <c r="C53" s="27" t="s">
        <v>391</v>
      </c>
      <c r="D53" s="29" t="s">
        <v>239</v>
      </c>
      <c r="E53" s="27" t="s">
        <v>865</v>
      </c>
      <c r="F53" s="27" t="s">
        <v>1333</v>
      </c>
      <c r="G53" s="27" t="s">
        <v>874</v>
      </c>
      <c r="H53" s="89" t="s">
        <v>2565</v>
      </c>
    </row>
    <row r="54" spans="2:9" s="25" customFormat="1" ht="16.5" thickBot="1">
      <c r="B54" s="40">
        <f t="shared" si="0"/>
        <v>50</v>
      </c>
      <c r="C54" s="27" t="s">
        <v>391</v>
      </c>
      <c r="D54" s="29" t="s">
        <v>239</v>
      </c>
      <c r="E54" s="27" t="s">
        <v>865</v>
      </c>
      <c r="F54" s="27" t="s">
        <v>1333</v>
      </c>
      <c r="G54" s="27" t="s">
        <v>870</v>
      </c>
      <c r="H54" s="89" t="s">
        <v>2566</v>
      </c>
    </row>
    <row r="55" spans="2:9" s="25" customFormat="1" ht="9" customHeight="1" thickBot="1">
      <c r="B55" s="23">
        <f t="shared" si="0"/>
        <v>51</v>
      </c>
      <c r="C55" s="43"/>
      <c r="D55" s="43"/>
      <c r="E55" s="43"/>
      <c r="F55" s="43"/>
      <c r="G55" s="43"/>
      <c r="H55" s="94"/>
    </row>
    <row r="56" spans="2:9" s="25" customFormat="1" ht="9" customHeight="1" thickBot="1">
      <c r="B56" s="23">
        <f t="shared" si="0"/>
        <v>52</v>
      </c>
      <c r="C56" s="37"/>
      <c r="D56" s="37"/>
      <c r="E56" s="37"/>
      <c r="F56" s="37"/>
      <c r="G56" s="38"/>
      <c r="H56" s="94"/>
    </row>
    <row r="57" spans="2:9" s="25" customFormat="1" ht="16.5" thickBot="1">
      <c r="B57" s="40">
        <f t="shared" si="0"/>
        <v>53</v>
      </c>
      <c r="C57" s="27" t="s">
        <v>391</v>
      </c>
      <c r="D57" s="29" t="s">
        <v>177</v>
      </c>
      <c r="E57" s="27" t="s">
        <v>865</v>
      </c>
      <c r="F57" s="27" t="s">
        <v>866</v>
      </c>
      <c r="G57" s="26"/>
      <c r="H57" s="88" t="s">
        <v>2568</v>
      </c>
    </row>
    <row r="58" spans="2:9" s="25" customFormat="1" ht="16.5" thickBot="1">
      <c r="B58" s="40">
        <f t="shared" si="0"/>
        <v>54</v>
      </c>
      <c r="C58" s="27" t="s">
        <v>391</v>
      </c>
      <c r="D58" s="29" t="s">
        <v>177</v>
      </c>
      <c r="E58" s="27" t="s">
        <v>865</v>
      </c>
      <c r="F58" s="27" t="s">
        <v>1728</v>
      </c>
      <c r="G58" s="26"/>
      <c r="H58" s="88" t="s">
        <v>3867</v>
      </c>
      <c r="I58" s="50" t="s">
        <v>2576</v>
      </c>
    </row>
    <row r="59" spans="2:9" s="25" customFormat="1" ht="16.5" thickBot="1">
      <c r="B59" s="40">
        <f t="shared" si="0"/>
        <v>55</v>
      </c>
      <c r="C59" s="27" t="s">
        <v>391</v>
      </c>
      <c r="D59" s="29" t="s">
        <v>177</v>
      </c>
      <c r="E59" s="27" t="s">
        <v>865</v>
      </c>
      <c r="F59" s="27" t="s">
        <v>1333</v>
      </c>
      <c r="G59" s="27" t="s">
        <v>1050</v>
      </c>
      <c r="H59" s="89" t="s">
        <v>2569</v>
      </c>
    </row>
    <row r="60" spans="2:9" s="25" customFormat="1" ht="16.5" thickBot="1">
      <c r="B60" s="40">
        <f t="shared" si="0"/>
        <v>56</v>
      </c>
      <c r="C60" s="27" t="s">
        <v>391</v>
      </c>
      <c r="D60" s="29" t="s">
        <v>177</v>
      </c>
      <c r="E60" s="27" t="s">
        <v>865</v>
      </c>
      <c r="F60" s="27" t="s">
        <v>1333</v>
      </c>
      <c r="G60" s="27" t="s">
        <v>1052</v>
      </c>
      <c r="H60" s="89" t="s">
        <v>2570</v>
      </c>
    </row>
    <row r="61" spans="2:9" s="25" customFormat="1" ht="16.5" thickBot="1">
      <c r="B61" s="40">
        <f t="shared" si="0"/>
        <v>57</v>
      </c>
      <c r="C61" s="27" t="s">
        <v>391</v>
      </c>
      <c r="D61" s="29" t="s">
        <v>177</v>
      </c>
      <c r="E61" s="27" t="s">
        <v>865</v>
      </c>
      <c r="F61" s="27" t="s">
        <v>1333</v>
      </c>
      <c r="G61" s="27" t="s">
        <v>1054</v>
      </c>
      <c r="H61" s="89" t="s">
        <v>2571</v>
      </c>
    </row>
    <row r="62" spans="2:9" s="25" customFormat="1" ht="16.5" thickBot="1">
      <c r="B62" s="40">
        <f t="shared" si="0"/>
        <v>58</v>
      </c>
      <c r="C62" s="27" t="s">
        <v>391</v>
      </c>
      <c r="D62" s="29" t="s">
        <v>177</v>
      </c>
      <c r="E62" s="27" t="s">
        <v>865</v>
      </c>
      <c r="F62" s="27" t="s">
        <v>1333</v>
      </c>
      <c r="G62" s="27" t="s">
        <v>1021</v>
      </c>
      <c r="H62" s="89" t="s">
        <v>2571</v>
      </c>
    </row>
    <row r="63" spans="2:9" s="25" customFormat="1" ht="16.5" thickBot="1">
      <c r="B63" s="40">
        <f t="shared" si="0"/>
        <v>59</v>
      </c>
      <c r="C63" s="27" t="s">
        <v>391</v>
      </c>
      <c r="D63" s="29" t="s">
        <v>177</v>
      </c>
      <c r="E63" s="27" t="s">
        <v>865</v>
      </c>
      <c r="F63" s="27" t="s">
        <v>1333</v>
      </c>
      <c r="G63" s="27" t="s">
        <v>1056</v>
      </c>
      <c r="H63" s="89" t="s">
        <v>2572</v>
      </c>
    </row>
    <row r="64" spans="2:9" s="25" customFormat="1" ht="16.5" thickBot="1">
      <c r="B64" s="40">
        <f t="shared" si="0"/>
        <v>60</v>
      </c>
      <c r="C64" s="27" t="s">
        <v>391</v>
      </c>
      <c r="D64" s="29" t="s">
        <v>177</v>
      </c>
      <c r="E64" s="27" t="s">
        <v>865</v>
      </c>
      <c r="F64" s="27" t="s">
        <v>1333</v>
      </c>
      <c r="G64" s="27" t="s">
        <v>1058</v>
      </c>
      <c r="H64" s="89" t="s">
        <v>2573</v>
      </c>
    </row>
    <row r="65" spans="2:9" s="25" customFormat="1" ht="16.5" thickBot="1">
      <c r="B65" s="40">
        <f t="shared" si="0"/>
        <v>61</v>
      </c>
      <c r="C65" s="27" t="s">
        <v>391</v>
      </c>
      <c r="D65" s="29" t="s">
        <v>177</v>
      </c>
      <c r="E65" s="27" t="s">
        <v>865</v>
      </c>
      <c r="F65" s="27"/>
      <c r="G65" s="27" t="s">
        <v>2574</v>
      </c>
      <c r="H65" s="89" t="s">
        <v>3495</v>
      </c>
    </row>
    <row r="66" spans="2:9" s="25" customFormat="1" ht="16.5" thickBot="1">
      <c r="B66" s="40">
        <f t="shared" si="0"/>
        <v>62</v>
      </c>
      <c r="C66" s="27" t="s">
        <v>391</v>
      </c>
      <c r="D66" s="29" t="s">
        <v>177</v>
      </c>
      <c r="E66" s="27" t="s">
        <v>865</v>
      </c>
      <c r="F66" s="68"/>
      <c r="G66" s="27" t="s">
        <v>2575</v>
      </c>
      <c r="H66" s="89" t="s">
        <v>3496</v>
      </c>
    </row>
    <row r="67" spans="2:9" s="25" customFormat="1" ht="9" customHeight="1" thickBot="1">
      <c r="B67" s="23">
        <f t="shared" si="0"/>
        <v>63</v>
      </c>
      <c r="C67" s="43"/>
      <c r="D67" s="43"/>
      <c r="E67" s="43"/>
      <c r="F67" s="43"/>
      <c r="G67" s="43"/>
      <c r="H67" s="94"/>
    </row>
    <row r="68" spans="2:9" s="25" customFormat="1" ht="9" customHeight="1" thickBot="1">
      <c r="B68" s="23">
        <f t="shared" si="0"/>
        <v>64</v>
      </c>
      <c r="C68" s="37"/>
      <c r="D68" s="37"/>
      <c r="E68" s="37"/>
      <c r="F68" s="37"/>
      <c r="G68" s="38"/>
      <c r="H68" s="94"/>
    </row>
    <row r="69" spans="2:9" s="25" customFormat="1" ht="16.5" thickBot="1">
      <c r="B69" s="40">
        <f t="shared" si="0"/>
        <v>65</v>
      </c>
      <c r="C69" s="27" t="s">
        <v>391</v>
      </c>
      <c r="D69" s="69" t="s">
        <v>226</v>
      </c>
      <c r="E69" s="27"/>
      <c r="F69" s="27" t="s">
        <v>866</v>
      </c>
      <c r="G69" s="26"/>
      <c r="H69" s="88"/>
    </row>
    <row r="70" spans="2:9" s="25" customFormat="1" ht="16.5" thickBot="1">
      <c r="B70" s="40">
        <f t="shared" si="0"/>
        <v>66</v>
      </c>
      <c r="C70" s="27" t="s">
        <v>391</v>
      </c>
      <c r="D70" s="69" t="s">
        <v>226</v>
      </c>
      <c r="E70" s="27"/>
      <c r="F70" s="27" t="s">
        <v>1728</v>
      </c>
      <c r="G70" s="26"/>
      <c r="H70" s="88"/>
      <c r="I70" s="50"/>
    </row>
    <row r="71" spans="2:9" s="25" customFormat="1" ht="16.5" thickBot="1">
      <c r="B71" s="40">
        <f t="shared" si="0"/>
        <v>67</v>
      </c>
      <c r="C71" s="27" t="s">
        <v>391</v>
      </c>
      <c r="D71" s="69" t="s">
        <v>226</v>
      </c>
      <c r="E71" s="27"/>
      <c r="F71" s="27" t="s">
        <v>1333</v>
      </c>
      <c r="G71" s="27"/>
      <c r="H71" s="89"/>
    </row>
    <row r="72" spans="2:9" s="25" customFormat="1" ht="16.5" thickBot="1">
      <c r="B72" s="40">
        <f t="shared" si="0"/>
        <v>68</v>
      </c>
      <c r="C72" s="27" t="s">
        <v>391</v>
      </c>
      <c r="D72" s="69" t="s">
        <v>226</v>
      </c>
      <c r="E72" s="27"/>
      <c r="F72" s="27" t="s">
        <v>1333</v>
      </c>
      <c r="G72" s="27"/>
      <c r="H72" s="89"/>
    </row>
    <row r="73" spans="2:9" s="25" customFormat="1" ht="16.5" thickBot="1">
      <c r="B73" s="40">
        <f t="shared" si="0"/>
        <v>69</v>
      </c>
      <c r="C73" s="27" t="s">
        <v>391</v>
      </c>
      <c r="D73" s="69" t="s">
        <v>226</v>
      </c>
      <c r="E73" s="27"/>
      <c r="F73" s="68"/>
      <c r="G73" s="27"/>
      <c r="H73" s="89"/>
    </row>
    <row r="74" spans="2:9" s="25" customFormat="1" ht="9" customHeight="1" thickBot="1">
      <c r="B74" s="23">
        <f t="shared" si="0"/>
        <v>70</v>
      </c>
      <c r="C74" s="43"/>
      <c r="D74" s="43"/>
      <c r="E74" s="43"/>
      <c r="F74" s="43"/>
      <c r="G74" s="43"/>
      <c r="H74" s="94"/>
    </row>
    <row r="75" spans="2:9" s="25" customFormat="1" ht="9" customHeight="1" thickBot="1">
      <c r="B75" s="23">
        <f t="shared" si="0"/>
        <v>71</v>
      </c>
      <c r="C75" s="37"/>
      <c r="D75" s="37"/>
      <c r="E75" s="37"/>
      <c r="F75" s="37"/>
      <c r="G75" s="38"/>
      <c r="H75" s="94"/>
    </row>
    <row r="76" spans="2:9" s="25" customFormat="1" ht="16.5" thickBot="1">
      <c r="B76" s="40">
        <f t="shared" si="0"/>
        <v>72</v>
      </c>
      <c r="C76" s="27" t="s">
        <v>391</v>
      </c>
      <c r="D76" s="29" t="s">
        <v>240</v>
      </c>
      <c r="E76" s="27" t="s">
        <v>865</v>
      </c>
      <c r="F76" s="27" t="s">
        <v>866</v>
      </c>
      <c r="G76" s="26"/>
      <c r="H76" s="88" t="s">
        <v>2578</v>
      </c>
    </row>
    <row r="77" spans="2:9" s="25" customFormat="1" ht="16.5" thickBot="1">
      <c r="B77" s="40">
        <f t="shared" si="0"/>
        <v>73</v>
      </c>
      <c r="C77" s="27" t="s">
        <v>391</v>
      </c>
      <c r="D77" s="29" t="s">
        <v>240</v>
      </c>
      <c r="E77" s="27" t="s">
        <v>865</v>
      </c>
      <c r="F77" s="27" t="s">
        <v>1728</v>
      </c>
      <c r="G77" s="26"/>
      <c r="H77" s="88" t="s">
        <v>3868</v>
      </c>
      <c r="I77" s="50" t="s">
        <v>2577</v>
      </c>
    </row>
    <row r="78" spans="2:9" s="25" customFormat="1" ht="16.5" thickBot="1">
      <c r="B78" s="40">
        <f t="shared" si="0"/>
        <v>74</v>
      </c>
      <c r="C78" s="27" t="s">
        <v>391</v>
      </c>
      <c r="D78" s="29" t="s">
        <v>240</v>
      </c>
      <c r="E78" s="27" t="s">
        <v>865</v>
      </c>
      <c r="F78" s="27" t="s">
        <v>1333</v>
      </c>
      <c r="G78" s="27" t="s">
        <v>949</v>
      </c>
      <c r="H78" s="89" t="s">
        <v>2579</v>
      </c>
    </row>
    <row r="79" spans="2:9" s="25" customFormat="1" ht="16.5" thickBot="1">
      <c r="B79" s="40">
        <f t="shared" si="0"/>
        <v>75</v>
      </c>
      <c r="C79" s="27" t="s">
        <v>391</v>
      </c>
      <c r="D79" s="29" t="s">
        <v>240</v>
      </c>
      <c r="E79" s="27" t="s">
        <v>865</v>
      </c>
      <c r="F79" s="27" t="s">
        <v>1333</v>
      </c>
      <c r="G79" s="27" t="s">
        <v>951</v>
      </c>
      <c r="H79" s="89" t="s">
        <v>2580</v>
      </c>
    </row>
    <row r="80" spans="2:9" s="25" customFormat="1" ht="16.5" thickBot="1">
      <c r="B80" s="40">
        <f t="shared" si="0"/>
        <v>76</v>
      </c>
      <c r="C80" s="27" t="s">
        <v>391</v>
      </c>
      <c r="D80" s="29" t="s">
        <v>240</v>
      </c>
      <c r="E80" s="27" t="s">
        <v>865</v>
      </c>
      <c r="F80" s="27"/>
      <c r="G80" s="27" t="s">
        <v>2581</v>
      </c>
      <c r="H80" s="89" t="s">
        <v>3498</v>
      </c>
    </row>
    <row r="81" spans="2:9" s="25" customFormat="1" ht="16.5" thickBot="1">
      <c r="B81" s="40">
        <f t="shared" si="0"/>
        <v>77</v>
      </c>
      <c r="C81" s="27" t="s">
        <v>391</v>
      </c>
      <c r="D81" s="29" t="s">
        <v>240</v>
      </c>
      <c r="E81" s="27" t="s">
        <v>865</v>
      </c>
      <c r="F81" s="68"/>
      <c r="G81" s="27" t="s">
        <v>2582</v>
      </c>
      <c r="H81" s="89" t="s">
        <v>3497</v>
      </c>
    </row>
    <row r="82" spans="2:9" s="25" customFormat="1" ht="9" customHeight="1" thickBot="1">
      <c r="B82" s="23">
        <f t="shared" si="0"/>
        <v>78</v>
      </c>
      <c r="C82" s="43"/>
      <c r="D82" s="43"/>
      <c r="E82" s="43"/>
      <c r="F82" s="43"/>
      <c r="G82" s="43"/>
      <c r="H82" s="94"/>
    </row>
    <row r="83" spans="2:9" s="25" customFormat="1" ht="9" customHeight="1" thickBot="1">
      <c r="B83" s="23">
        <f t="shared" si="0"/>
        <v>79</v>
      </c>
      <c r="C83" s="37"/>
      <c r="D83" s="37"/>
      <c r="E83" s="37"/>
      <c r="F83" s="37"/>
      <c r="G83" s="38"/>
      <c r="H83" s="94"/>
    </row>
    <row r="84" spans="2:9" s="25" customFormat="1" ht="16.5" thickBot="1">
      <c r="B84" s="40">
        <f t="shared" si="0"/>
        <v>80</v>
      </c>
      <c r="C84" s="27" t="s">
        <v>391</v>
      </c>
      <c r="D84" s="69" t="s">
        <v>207</v>
      </c>
      <c r="E84" s="27"/>
      <c r="F84" s="27" t="s">
        <v>866</v>
      </c>
      <c r="G84" s="26"/>
      <c r="H84" s="89"/>
    </row>
    <row r="85" spans="2:9" s="25" customFormat="1" ht="16.5" thickBot="1">
      <c r="B85" s="40">
        <f t="shared" si="0"/>
        <v>81</v>
      </c>
      <c r="C85" s="27" t="s">
        <v>391</v>
      </c>
      <c r="D85" s="69" t="s">
        <v>207</v>
      </c>
      <c r="E85" s="27"/>
      <c r="F85" s="27" t="s">
        <v>1728</v>
      </c>
      <c r="G85" s="26"/>
      <c r="H85" s="88"/>
      <c r="I85" s="50"/>
    </row>
    <row r="86" spans="2:9" s="25" customFormat="1" ht="16.5" thickBot="1">
      <c r="B86" s="40">
        <f t="shared" si="0"/>
        <v>82</v>
      </c>
      <c r="C86" s="27" t="s">
        <v>391</v>
      </c>
      <c r="D86" s="69" t="s">
        <v>207</v>
      </c>
      <c r="E86" s="27"/>
      <c r="F86" s="27" t="s">
        <v>1333</v>
      </c>
      <c r="G86" s="27"/>
      <c r="H86" s="89"/>
    </row>
    <row r="87" spans="2:9" s="25" customFormat="1" ht="16.5" thickBot="1">
      <c r="B87" s="40">
        <f t="shared" si="0"/>
        <v>83</v>
      </c>
      <c r="C87" s="27" t="s">
        <v>391</v>
      </c>
      <c r="D87" s="69" t="s">
        <v>207</v>
      </c>
      <c r="E87" s="27"/>
      <c r="F87" s="27" t="s">
        <v>1333</v>
      </c>
      <c r="G87" s="27"/>
      <c r="H87" s="89"/>
    </row>
    <row r="88" spans="2:9" s="25" customFormat="1" ht="16.5" thickBot="1">
      <c r="B88" s="40">
        <f t="shared" si="0"/>
        <v>84</v>
      </c>
      <c r="C88" s="27" t="s">
        <v>391</v>
      </c>
      <c r="D88" s="69" t="s">
        <v>207</v>
      </c>
      <c r="E88" s="27"/>
      <c r="F88" s="68"/>
      <c r="G88" s="27"/>
      <c r="H88" s="89"/>
    </row>
    <row r="89" spans="2:9" s="25" customFormat="1" ht="9" customHeight="1" thickBot="1">
      <c r="B89" s="23">
        <f t="shared" si="0"/>
        <v>85</v>
      </c>
      <c r="C89" s="43"/>
      <c r="D89" s="43"/>
      <c r="E89" s="43"/>
      <c r="F89" s="43"/>
      <c r="G89" s="43"/>
      <c r="H89" s="94"/>
    </row>
    <row r="90" spans="2:9" s="25" customFormat="1" ht="9" customHeight="1" thickBot="1">
      <c r="B90" s="23">
        <f t="shared" si="0"/>
        <v>86</v>
      </c>
      <c r="C90" s="37"/>
      <c r="D90" s="37"/>
      <c r="E90" s="37"/>
      <c r="F90" s="37"/>
      <c r="G90" s="38"/>
      <c r="H90" s="94"/>
    </row>
    <row r="91" spans="2:9" s="25" customFormat="1" ht="16.5" thickBot="1">
      <c r="B91" s="40">
        <f t="shared" si="0"/>
        <v>87</v>
      </c>
      <c r="C91" s="27" t="s">
        <v>391</v>
      </c>
      <c r="D91" s="29" t="s">
        <v>241</v>
      </c>
      <c r="E91" s="27" t="s">
        <v>865</v>
      </c>
      <c r="F91" s="27" t="s">
        <v>866</v>
      </c>
      <c r="G91" s="26"/>
      <c r="H91" s="88" t="s">
        <v>2584</v>
      </c>
    </row>
    <row r="92" spans="2:9" s="25" customFormat="1" ht="16.5" thickBot="1">
      <c r="B92" s="40">
        <f t="shared" si="0"/>
        <v>88</v>
      </c>
      <c r="C92" s="27" t="s">
        <v>391</v>
      </c>
      <c r="D92" s="29" t="s">
        <v>241</v>
      </c>
      <c r="E92" s="27" t="s">
        <v>865</v>
      </c>
      <c r="F92" s="27" t="s">
        <v>1728</v>
      </c>
      <c r="G92" s="26"/>
      <c r="H92" s="88" t="s">
        <v>3869</v>
      </c>
      <c r="I92" s="50" t="s">
        <v>2583</v>
      </c>
    </row>
    <row r="93" spans="2:9" s="25" customFormat="1" ht="16.5" thickBot="1">
      <c r="B93" s="40">
        <f t="shared" si="0"/>
        <v>89</v>
      </c>
      <c r="C93" s="27" t="s">
        <v>391</v>
      </c>
      <c r="D93" s="29" t="s">
        <v>241</v>
      </c>
      <c r="E93" s="27" t="s">
        <v>865</v>
      </c>
      <c r="F93" s="27" t="s">
        <v>1333</v>
      </c>
      <c r="G93" s="27" t="s">
        <v>921</v>
      </c>
      <c r="H93" s="89" t="s">
        <v>3870</v>
      </c>
    </row>
    <row r="94" spans="2:9" s="25" customFormat="1" ht="16.5" thickBot="1">
      <c r="B94" s="40">
        <f t="shared" si="0"/>
        <v>90</v>
      </c>
      <c r="C94" s="27" t="s">
        <v>391</v>
      </c>
      <c r="D94" s="29" t="s">
        <v>241</v>
      </c>
      <c r="E94" s="27" t="s">
        <v>865</v>
      </c>
      <c r="F94" s="27" t="s">
        <v>1333</v>
      </c>
      <c r="G94" s="27" t="s">
        <v>923</v>
      </c>
      <c r="H94" s="89" t="s">
        <v>3870</v>
      </c>
    </row>
    <row r="95" spans="2:9" s="25" customFormat="1" ht="16.5" thickBot="1">
      <c r="B95" s="40">
        <f t="shared" ref="B95:B96" si="1">B94+1</f>
        <v>91</v>
      </c>
      <c r="C95" s="27" t="s">
        <v>391</v>
      </c>
      <c r="D95" s="29" t="s">
        <v>241</v>
      </c>
      <c r="E95" s="27" t="s">
        <v>865</v>
      </c>
      <c r="F95" s="27" t="s">
        <v>1333</v>
      </c>
      <c r="G95" s="27" t="s">
        <v>989</v>
      </c>
      <c r="H95" s="89" t="s">
        <v>3871</v>
      </c>
    </row>
    <row r="96" spans="2:9" s="25" customFormat="1" ht="16.5" thickBot="1">
      <c r="B96" s="40">
        <f t="shared" si="1"/>
        <v>92</v>
      </c>
      <c r="C96" s="27" t="s">
        <v>391</v>
      </c>
      <c r="D96" s="29" t="s">
        <v>241</v>
      </c>
      <c r="E96" s="27" t="s">
        <v>865</v>
      </c>
      <c r="F96" s="27" t="s">
        <v>1333</v>
      </c>
      <c r="G96" s="27" t="s">
        <v>992</v>
      </c>
      <c r="H96" s="89" t="s">
        <v>3870</v>
      </c>
    </row>
    <row r="97" spans="2:9" s="25" customFormat="1" ht="9" customHeight="1" thickBot="1">
      <c r="B97" s="23">
        <f t="shared" ref="B97:B190" si="2">B96+1</f>
        <v>93</v>
      </c>
      <c r="C97" s="43"/>
      <c r="D97" s="43"/>
      <c r="E97" s="43"/>
      <c r="F97" s="43"/>
      <c r="G97" s="43"/>
      <c r="H97" s="94"/>
    </row>
    <row r="98" spans="2:9" s="25" customFormat="1" ht="9" customHeight="1" thickBot="1">
      <c r="B98" s="23">
        <f t="shared" si="2"/>
        <v>94</v>
      </c>
      <c r="C98" s="37"/>
      <c r="D98" s="37"/>
      <c r="E98" s="37"/>
      <c r="F98" s="37"/>
      <c r="G98" s="38"/>
      <c r="H98" s="94"/>
    </row>
    <row r="99" spans="2:9" s="25" customFormat="1" ht="16.5" thickBot="1">
      <c r="B99" s="40">
        <f t="shared" si="2"/>
        <v>95</v>
      </c>
      <c r="C99" s="27" t="s">
        <v>391</v>
      </c>
      <c r="D99" s="29" t="s">
        <v>242</v>
      </c>
      <c r="E99" s="27" t="s">
        <v>865</v>
      </c>
      <c r="F99" s="27" t="s">
        <v>866</v>
      </c>
      <c r="G99" s="26"/>
      <c r="H99" s="88" t="s">
        <v>2586</v>
      </c>
    </row>
    <row r="100" spans="2:9" s="25" customFormat="1" ht="16.5" thickBot="1">
      <c r="B100" s="40">
        <f t="shared" si="2"/>
        <v>96</v>
      </c>
      <c r="C100" s="27" t="s">
        <v>391</v>
      </c>
      <c r="D100" s="29" t="s">
        <v>242</v>
      </c>
      <c r="E100" s="27" t="s">
        <v>865</v>
      </c>
      <c r="F100" s="27" t="s">
        <v>1728</v>
      </c>
      <c r="G100" s="26"/>
      <c r="H100" s="88" t="s">
        <v>3872</v>
      </c>
      <c r="I100" s="50" t="s">
        <v>2585</v>
      </c>
    </row>
    <row r="101" spans="2:9" s="25" customFormat="1" ht="16.5" thickBot="1">
      <c r="B101" s="40">
        <f t="shared" si="2"/>
        <v>97</v>
      </c>
      <c r="C101" s="27" t="s">
        <v>391</v>
      </c>
      <c r="D101" s="29" t="s">
        <v>242</v>
      </c>
      <c r="E101" s="27" t="s">
        <v>865</v>
      </c>
      <c r="F101" s="27" t="s">
        <v>1333</v>
      </c>
      <c r="G101" s="27" t="s">
        <v>949</v>
      </c>
      <c r="H101" s="89" t="s">
        <v>2587</v>
      </c>
    </row>
    <row r="102" spans="2:9" s="25" customFormat="1" ht="16.5" thickBot="1">
      <c r="B102" s="40">
        <f t="shared" si="2"/>
        <v>98</v>
      </c>
      <c r="C102" s="27" t="s">
        <v>391</v>
      </c>
      <c r="D102" s="29" t="s">
        <v>242</v>
      </c>
      <c r="E102" s="27" t="s">
        <v>865</v>
      </c>
      <c r="F102" s="27" t="s">
        <v>1333</v>
      </c>
      <c r="G102" s="27" t="s">
        <v>951</v>
      </c>
      <c r="H102" s="89" t="s">
        <v>2587</v>
      </c>
    </row>
    <row r="103" spans="2:9" s="25" customFormat="1" ht="16.5" thickBot="1">
      <c r="B103" s="40">
        <f t="shared" si="2"/>
        <v>99</v>
      </c>
      <c r="C103" s="27" t="s">
        <v>391</v>
      </c>
      <c r="D103" s="71" t="s">
        <v>242</v>
      </c>
      <c r="E103" s="27" t="s">
        <v>880</v>
      </c>
      <c r="F103" s="27" t="s">
        <v>1780</v>
      </c>
      <c r="G103" s="27" t="s">
        <v>3499</v>
      </c>
      <c r="H103" s="104" t="s">
        <v>3873</v>
      </c>
    </row>
    <row r="104" spans="2:9" s="25" customFormat="1" ht="16.5" thickBot="1">
      <c r="B104" s="40">
        <f t="shared" si="2"/>
        <v>100</v>
      </c>
      <c r="C104" s="27" t="s">
        <v>391</v>
      </c>
      <c r="D104" s="29" t="s">
        <v>242</v>
      </c>
      <c r="E104" s="27" t="s">
        <v>865</v>
      </c>
      <c r="F104" s="68"/>
      <c r="G104" s="27" t="s">
        <v>2588</v>
      </c>
      <c r="H104" s="89" t="s">
        <v>3501</v>
      </c>
    </row>
    <row r="105" spans="2:9" s="25" customFormat="1" ht="9" customHeight="1" thickBot="1">
      <c r="B105" s="23">
        <f t="shared" si="2"/>
        <v>101</v>
      </c>
      <c r="C105" s="43"/>
      <c r="D105" s="43"/>
      <c r="E105" s="43"/>
      <c r="F105" s="43"/>
      <c r="G105" s="43"/>
      <c r="H105" s="94"/>
    </row>
    <row r="106" spans="2:9" s="25" customFormat="1" ht="9" customHeight="1" thickBot="1">
      <c r="B106" s="23">
        <f t="shared" si="2"/>
        <v>102</v>
      </c>
      <c r="C106" s="37"/>
      <c r="D106" s="37"/>
      <c r="E106" s="37"/>
      <c r="F106" s="37"/>
      <c r="G106" s="38"/>
      <c r="H106" s="94"/>
    </row>
    <row r="107" spans="2:9" s="25" customFormat="1" ht="16.5" thickBot="1">
      <c r="B107" s="40">
        <f t="shared" si="2"/>
        <v>103</v>
      </c>
      <c r="C107" s="27" t="s">
        <v>391</v>
      </c>
      <c r="D107" s="29" t="s">
        <v>180</v>
      </c>
      <c r="E107" s="27" t="s">
        <v>865</v>
      </c>
      <c r="F107" s="27" t="s">
        <v>866</v>
      </c>
      <c r="G107" s="26"/>
      <c r="H107" s="88" t="s">
        <v>2589</v>
      </c>
    </row>
    <row r="108" spans="2:9" s="25" customFormat="1" ht="16.5" thickBot="1">
      <c r="B108" s="40">
        <f t="shared" si="2"/>
        <v>104</v>
      </c>
      <c r="C108" s="27" t="s">
        <v>391</v>
      </c>
      <c r="D108" s="29" t="s">
        <v>180</v>
      </c>
      <c r="E108" s="27" t="s">
        <v>865</v>
      </c>
      <c r="F108" s="27" t="s">
        <v>1728</v>
      </c>
      <c r="G108" s="26"/>
      <c r="H108" s="88" t="s">
        <v>3874</v>
      </c>
      <c r="I108" s="50" t="s">
        <v>2590</v>
      </c>
    </row>
    <row r="109" spans="2:9" s="25" customFormat="1" ht="16.5" thickBot="1">
      <c r="B109" s="40">
        <f t="shared" si="2"/>
        <v>105</v>
      </c>
      <c r="C109" s="27" t="s">
        <v>391</v>
      </c>
      <c r="D109" s="29" t="s">
        <v>180</v>
      </c>
      <c r="E109" s="27" t="s">
        <v>865</v>
      </c>
      <c r="F109" s="27" t="s">
        <v>1333</v>
      </c>
      <c r="G109" s="27" t="s">
        <v>2560</v>
      </c>
      <c r="H109" s="89" t="s">
        <v>3502</v>
      </c>
    </row>
    <row r="110" spans="2:9" s="25" customFormat="1" ht="16.5" thickBot="1">
      <c r="B110" s="40">
        <f t="shared" si="2"/>
        <v>106</v>
      </c>
      <c r="C110" s="27" t="s">
        <v>391</v>
      </c>
      <c r="D110" s="29" t="s">
        <v>180</v>
      </c>
      <c r="E110" s="27" t="s">
        <v>865</v>
      </c>
      <c r="F110" s="27" t="s">
        <v>1333</v>
      </c>
      <c r="G110" s="27" t="s">
        <v>1052</v>
      </c>
      <c r="H110" s="89" t="s">
        <v>3503</v>
      </c>
    </row>
    <row r="111" spans="2:9" s="25" customFormat="1" ht="16.5" thickBot="1">
      <c r="B111" s="40">
        <f t="shared" si="2"/>
        <v>107</v>
      </c>
      <c r="C111" s="27" t="s">
        <v>391</v>
      </c>
      <c r="D111" s="29" t="s">
        <v>180</v>
      </c>
      <c r="E111" s="27" t="s">
        <v>865</v>
      </c>
      <c r="F111" s="27" t="s">
        <v>1333</v>
      </c>
      <c r="G111" s="27" t="s">
        <v>1050</v>
      </c>
      <c r="H111" s="89" t="s">
        <v>3504</v>
      </c>
    </row>
    <row r="112" spans="2:9" s="25" customFormat="1" ht="16.5" thickBot="1">
      <c r="B112" s="40">
        <f t="shared" si="2"/>
        <v>108</v>
      </c>
      <c r="C112" s="27" t="s">
        <v>391</v>
      </c>
      <c r="D112" s="29" t="s">
        <v>180</v>
      </c>
      <c r="E112" s="27" t="s">
        <v>865</v>
      </c>
      <c r="F112" s="27" t="s">
        <v>1333</v>
      </c>
      <c r="G112" s="27" t="s">
        <v>2546</v>
      </c>
      <c r="H112" s="89" t="s">
        <v>3505</v>
      </c>
    </row>
    <row r="113" spans="2:9" s="25" customFormat="1" ht="16.5" thickBot="1">
      <c r="B113" s="40">
        <f t="shared" si="2"/>
        <v>109</v>
      </c>
      <c r="C113" s="27" t="s">
        <v>391</v>
      </c>
      <c r="D113" s="29" t="s">
        <v>180</v>
      </c>
      <c r="E113" s="27" t="s">
        <v>865</v>
      </c>
      <c r="F113" s="27" t="s">
        <v>1333</v>
      </c>
      <c r="G113" s="27" t="s">
        <v>2547</v>
      </c>
      <c r="H113" s="89" t="s">
        <v>3506</v>
      </c>
    </row>
    <row r="114" spans="2:9" s="25" customFormat="1" ht="16.5" thickBot="1">
      <c r="B114" s="40">
        <f t="shared" si="2"/>
        <v>110</v>
      </c>
      <c r="C114" s="27" t="s">
        <v>391</v>
      </c>
      <c r="D114" s="29" t="s">
        <v>180</v>
      </c>
      <c r="E114" s="27" t="s">
        <v>865</v>
      </c>
      <c r="F114" s="27" t="s">
        <v>1333</v>
      </c>
      <c r="G114" s="27" t="s">
        <v>1809</v>
      </c>
      <c r="H114" s="89" t="s">
        <v>3507</v>
      </c>
    </row>
    <row r="115" spans="2:9" s="25" customFormat="1" ht="16.5" thickBot="1">
      <c r="B115" s="40">
        <f t="shared" si="2"/>
        <v>111</v>
      </c>
      <c r="C115" s="27" t="s">
        <v>391</v>
      </c>
      <c r="D115" s="29" t="s">
        <v>180</v>
      </c>
      <c r="E115" s="27" t="s">
        <v>865</v>
      </c>
      <c r="F115" s="27" t="s">
        <v>1333</v>
      </c>
      <c r="G115" s="27" t="s">
        <v>1811</v>
      </c>
      <c r="H115" s="89" t="s">
        <v>3508</v>
      </c>
    </row>
    <row r="116" spans="2:9" s="25" customFormat="1" ht="16.5" thickBot="1">
      <c r="B116" s="40">
        <f t="shared" si="2"/>
        <v>112</v>
      </c>
      <c r="C116" s="27" t="s">
        <v>391</v>
      </c>
      <c r="D116" s="29" t="s">
        <v>180</v>
      </c>
      <c r="E116" s="27" t="s">
        <v>865</v>
      </c>
      <c r="F116" s="27" t="s">
        <v>1333</v>
      </c>
      <c r="G116" s="27" t="s">
        <v>1813</v>
      </c>
      <c r="H116" s="89" t="s">
        <v>3509</v>
      </c>
    </row>
    <row r="117" spans="2:9" s="25" customFormat="1" ht="16.5" thickBot="1">
      <c r="B117" s="40">
        <f t="shared" si="2"/>
        <v>113</v>
      </c>
      <c r="C117" s="27" t="s">
        <v>391</v>
      </c>
      <c r="D117" s="29" t="s">
        <v>180</v>
      </c>
      <c r="E117" s="27" t="s">
        <v>865</v>
      </c>
      <c r="F117" s="27" t="s">
        <v>1333</v>
      </c>
      <c r="G117" s="27" t="s">
        <v>2250</v>
      </c>
      <c r="H117" s="89" t="s">
        <v>3510</v>
      </c>
    </row>
    <row r="118" spans="2:9" s="25" customFormat="1" ht="16.5" thickBot="1">
      <c r="B118" s="40">
        <f t="shared" si="2"/>
        <v>114</v>
      </c>
      <c r="C118" s="27" t="s">
        <v>391</v>
      </c>
      <c r="D118" s="29" t="s">
        <v>180</v>
      </c>
      <c r="E118" s="27" t="s">
        <v>865</v>
      </c>
      <c r="F118" s="27"/>
      <c r="G118" s="27" t="s">
        <v>3515</v>
      </c>
      <c r="H118" s="89" t="s">
        <v>3513</v>
      </c>
    </row>
    <row r="119" spans="2:9" s="25" customFormat="1" ht="16.5" thickBot="1">
      <c r="B119" s="40">
        <f t="shared" si="2"/>
        <v>115</v>
      </c>
      <c r="C119" s="27" t="s">
        <v>391</v>
      </c>
      <c r="D119" s="29" t="s">
        <v>180</v>
      </c>
      <c r="E119" s="27" t="s">
        <v>865</v>
      </c>
      <c r="F119" s="27"/>
      <c r="G119" s="27" t="s">
        <v>3514</v>
      </c>
      <c r="H119" s="89" t="s">
        <v>3516</v>
      </c>
    </row>
    <row r="120" spans="2:9" s="25" customFormat="1" ht="16.5" thickBot="1">
      <c r="B120" s="40">
        <f t="shared" si="2"/>
        <v>116</v>
      </c>
      <c r="C120" s="27" t="s">
        <v>391</v>
      </c>
      <c r="D120" s="29" t="s">
        <v>180</v>
      </c>
      <c r="E120" s="27" t="s">
        <v>865</v>
      </c>
      <c r="F120" s="27"/>
      <c r="G120" s="27" t="s">
        <v>3512</v>
      </c>
      <c r="H120" s="89" t="s">
        <v>3511</v>
      </c>
    </row>
    <row r="121" spans="2:9" s="25" customFormat="1" ht="16.5" thickBot="1">
      <c r="B121" s="40">
        <f t="shared" si="2"/>
        <v>117</v>
      </c>
      <c r="C121" s="27" t="s">
        <v>391</v>
      </c>
      <c r="D121" s="71" t="s">
        <v>180</v>
      </c>
      <c r="E121" s="27" t="s">
        <v>880</v>
      </c>
      <c r="F121" s="27" t="s">
        <v>1780</v>
      </c>
      <c r="G121" s="27" t="s">
        <v>3500</v>
      </c>
      <c r="H121" s="104" t="s">
        <v>3873</v>
      </c>
    </row>
    <row r="122" spans="2:9" s="25" customFormat="1" ht="16.5" thickBot="1">
      <c r="B122" s="67">
        <f t="shared" si="2"/>
        <v>118</v>
      </c>
      <c r="C122" s="68" t="s">
        <v>391</v>
      </c>
      <c r="D122" s="69" t="s">
        <v>180</v>
      </c>
      <c r="E122" s="68" t="s">
        <v>880</v>
      </c>
      <c r="F122" s="68"/>
      <c r="G122" s="68" t="s">
        <v>2591</v>
      </c>
      <c r="H122" s="102"/>
    </row>
    <row r="123" spans="2:9" s="25" customFormat="1" ht="9" customHeight="1" thickBot="1">
      <c r="B123" s="23">
        <f t="shared" si="2"/>
        <v>119</v>
      </c>
      <c r="C123" s="43"/>
      <c r="D123" s="43"/>
      <c r="E123" s="43"/>
      <c r="F123" s="43"/>
      <c r="G123" s="43"/>
      <c r="H123" s="94"/>
    </row>
    <row r="124" spans="2:9" s="25" customFormat="1" ht="9" customHeight="1" thickBot="1">
      <c r="B124" s="23">
        <f t="shared" si="2"/>
        <v>120</v>
      </c>
      <c r="C124" s="37"/>
      <c r="D124" s="37"/>
      <c r="E124" s="37"/>
      <c r="F124" s="37"/>
      <c r="G124" s="38"/>
      <c r="H124" s="94"/>
    </row>
    <row r="125" spans="2:9" s="25" customFormat="1" ht="16.5" thickBot="1">
      <c r="B125" s="40">
        <f t="shared" si="2"/>
        <v>121</v>
      </c>
      <c r="C125" s="27" t="s">
        <v>391</v>
      </c>
      <c r="D125" s="29" t="s">
        <v>243</v>
      </c>
      <c r="E125" s="27" t="s">
        <v>865</v>
      </c>
      <c r="F125" s="27" t="s">
        <v>866</v>
      </c>
      <c r="G125" s="26"/>
      <c r="H125" s="88" t="s">
        <v>2592</v>
      </c>
    </row>
    <row r="126" spans="2:9" s="25" customFormat="1" ht="16.5" thickBot="1">
      <c r="B126" s="40">
        <f t="shared" si="2"/>
        <v>122</v>
      </c>
      <c r="C126" s="27" t="s">
        <v>391</v>
      </c>
      <c r="D126" s="29" t="s">
        <v>243</v>
      </c>
      <c r="E126" s="27" t="s">
        <v>865</v>
      </c>
      <c r="F126" s="27" t="s">
        <v>1728</v>
      </c>
      <c r="G126" s="26"/>
      <c r="H126" s="88" t="s">
        <v>3875</v>
      </c>
      <c r="I126" s="50" t="s">
        <v>2595</v>
      </c>
    </row>
    <row r="127" spans="2:9" s="25" customFormat="1" ht="16.5" thickBot="1">
      <c r="B127" s="40">
        <f t="shared" si="2"/>
        <v>123</v>
      </c>
      <c r="C127" s="27" t="s">
        <v>391</v>
      </c>
      <c r="D127" s="29" t="s">
        <v>243</v>
      </c>
      <c r="E127" s="27" t="s">
        <v>865</v>
      </c>
      <c r="F127" s="27" t="s">
        <v>1333</v>
      </c>
      <c r="G127" s="27"/>
      <c r="H127" s="89" t="s">
        <v>2593</v>
      </c>
    </row>
    <row r="128" spans="2:9" s="25" customFormat="1" ht="16.5" thickBot="1">
      <c r="B128" s="40">
        <f t="shared" si="2"/>
        <v>124</v>
      </c>
      <c r="C128" s="27" t="s">
        <v>391</v>
      </c>
      <c r="D128" s="29" t="s">
        <v>243</v>
      </c>
      <c r="E128" s="27" t="s">
        <v>865</v>
      </c>
      <c r="F128" s="27" t="s">
        <v>1333</v>
      </c>
      <c r="G128" s="27"/>
      <c r="H128" s="89" t="s">
        <v>3876</v>
      </c>
    </row>
    <row r="129" spans="2:9" s="25" customFormat="1" ht="16.5" thickBot="1">
      <c r="B129" s="40">
        <f t="shared" si="2"/>
        <v>125</v>
      </c>
      <c r="C129" s="27" t="s">
        <v>391</v>
      </c>
      <c r="D129" s="29" t="s">
        <v>243</v>
      </c>
      <c r="E129" s="27" t="s">
        <v>865</v>
      </c>
      <c r="F129" s="27" t="s">
        <v>1333</v>
      </c>
      <c r="G129" s="27"/>
      <c r="H129" s="89" t="s">
        <v>2594</v>
      </c>
    </row>
    <row r="130" spans="2:9" s="25" customFormat="1" ht="16.5" thickBot="1">
      <c r="B130" s="40">
        <f t="shared" si="2"/>
        <v>126</v>
      </c>
      <c r="C130" s="27" t="s">
        <v>391</v>
      </c>
      <c r="D130" s="29" t="s">
        <v>243</v>
      </c>
      <c r="E130" s="27" t="s">
        <v>865</v>
      </c>
      <c r="F130" s="27" t="s">
        <v>1333</v>
      </c>
      <c r="G130" s="27"/>
      <c r="H130" s="89" t="s">
        <v>3877</v>
      </c>
    </row>
    <row r="131" spans="2:9" s="25" customFormat="1" ht="16.5" thickBot="1">
      <c r="B131" s="40">
        <f t="shared" si="2"/>
        <v>127</v>
      </c>
      <c r="C131" s="27" t="s">
        <v>391</v>
      </c>
      <c r="D131" s="71" t="s">
        <v>243</v>
      </c>
      <c r="E131" s="27" t="s">
        <v>880</v>
      </c>
      <c r="F131" s="27" t="s">
        <v>1780</v>
      </c>
      <c r="G131" s="27" t="s">
        <v>3517</v>
      </c>
      <c r="H131" s="104" t="s">
        <v>3878</v>
      </c>
    </row>
    <row r="132" spans="2:9" s="25" customFormat="1" ht="16.5" thickBot="1">
      <c r="B132" s="40">
        <f t="shared" si="2"/>
        <v>128</v>
      </c>
      <c r="C132" s="27" t="s">
        <v>391</v>
      </c>
      <c r="D132" s="29" t="s">
        <v>243</v>
      </c>
      <c r="E132" s="27" t="s">
        <v>865</v>
      </c>
      <c r="F132" s="68"/>
      <c r="G132" s="27" t="s">
        <v>3518</v>
      </c>
      <c r="H132" s="89" t="s">
        <v>3519</v>
      </c>
    </row>
    <row r="133" spans="2:9" s="25" customFormat="1" ht="9" customHeight="1" thickBot="1">
      <c r="B133" s="23">
        <f>B132+1</f>
        <v>129</v>
      </c>
      <c r="C133" s="43"/>
      <c r="D133" s="43"/>
      <c r="E133" s="43"/>
      <c r="F133" s="43"/>
      <c r="G133" s="43"/>
      <c r="H133" s="94"/>
    </row>
    <row r="134" spans="2:9" s="25" customFormat="1" ht="9" customHeight="1" thickBot="1">
      <c r="B134" s="23">
        <f t="shared" si="2"/>
        <v>130</v>
      </c>
      <c r="C134" s="37"/>
      <c r="D134" s="37"/>
      <c r="E134" s="37"/>
      <c r="F134" s="37"/>
      <c r="G134" s="38"/>
      <c r="H134" s="94"/>
    </row>
    <row r="135" spans="2:9" s="25" customFormat="1" ht="16.5" thickBot="1">
      <c r="B135" s="40">
        <f t="shared" si="2"/>
        <v>131</v>
      </c>
      <c r="C135" s="27" t="s">
        <v>391</v>
      </c>
      <c r="D135" s="29" t="s">
        <v>244</v>
      </c>
      <c r="E135" s="27" t="s">
        <v>865</v>
      </c>
      <c r="F135" s="27" t="s">
        <v>866</v>
      </c>
      <c r="G135" s="26"/>
      <c r="H135" s="88" t="s">
        <v>2596</v>
      </c>
    </row>
    <row r="136" spans="2:9" s="25" customFormat="1" ht="16.5" thickBot="1">
      <c r="B136" s="40">
        <f t="shared" si="2"/>
        <v>132</v>
      </c>
      <c r="C136" s="27" t="s">
        <v>391</v>
      </c>
      <c r="D136" s="29" t="s">
        <v>244</v>
      </c>
      <c r="E136" s="27" t="s">
        <v>865</v>
      </c>
      <c r="F136" s="27" t="s">
        <v>1728</v>
      </c>
      <c r="G136" s="26"/>
      <c r="H136" s="88" t="s">
        <v>3879</v>
      </c>
      <c r="I136" s="50"/>
    </row>
    <row r="137" spans="2:9" s="25" customFormat="1" ht="16.5" thickBot="1">
      <c r="B137" s="40">
        <f t="shared" si="2"/>
        <v>133</v>
      </c>
      <c r="C137" s="27" t="s">
        <v>391</v>
      </c>
      <c r="D137" s="29" t="s">
        <v>244</v>
      </c>
      <c r="E137" s="27" t="s">
        <v>865</v>
      </c>
      <c r="F137" s="27" t="s">
        <v>1333</v>
      </c>
      <c r="G137" s="27" t="s">
        <v>949</v>
      </c>
      <c r="H137" s="89" t="s">
        <v>2597</v>
      </c>
    </row>
    <row r="138" spans="2:9" s="25" customFormat="1" ht="16.5" thickBot="1">
      <c r="B138" s="40">
        <f t="shared" si="2"/>
        <v>134</v>
      </c>
      <c r="C138" s="27" t="s">
        <v>391</v>
      </c>
      <c r="D138" s="29" t="s">
        <v>244</v>
      </c>
      <c r="E138" s="27" t="s">
        <v>865</v>
      </c>
      <c r="F138" s="27" t="s">
        <v>1333</v>
      </c>
      <c r="G138" s="27" t="s">
        <v>951</v>
      </c>
      <c r="H138" s="89" t="s">
        <v>2598</v>
      </c>
    </row>
    <row r="139" spans="2:9" s="25" customFormat="1" ht="9" customHeight="1" thickBot="1">
      <c r="B139" s="23">
        <f t="shared" si="2"/>
        <v>135</v>
      </c>
      <c r="C139" s="43"/>
      <c r="D139" s="43"/>
      <c r="E139" s="43"/>
      <c r="F139" s="43"/>
      <c r="G139" s="43"/>
      <c r="H139" s="94"/>
    </row>
    <row r="140" spans="2:9" s="25" customFormat="1" ht="9" customHeight="1" thickBot="1">
      <c r="B140" s="23">
        <f t="shared" si="2"/>
        <v>136</v>
      </c>
      <c r="C140" s="37"/>
      <c r="D140" s="37"/>
      <c r="E140" s="37"/>
      <c r="F140" s="37"/>
      <c r="G140" s="38"/>
      <c r="H140" s="94"/>
    </row>
    <row r="141" spans="2:9" s="25" customFormat="1" ht="16.5" thickBot="1">
      <c r="B141" s="40">
        <f t="shared" si="2"/>
        <v>137</v>
      </c>
      <c r="C141" s="27" t="s">
        <v>391</v>
      </c>
      <c r="D141" s="29" t="s">
        <v>245</v>
      </c>
      <c r="E141" s="27" t="s">
        <v>865</v>
      </c>
      <c r="F141" s="27" t="s">
        <v>866</v>
      </c>
      <c r="G141" s="26"/>
      <c r="H141" s="88" t="s">
        <v>2603</v>
      </c>
    </row>
    <row r="142" spans="2:9" s="25" customFormat="1" ht="16.5" thickBot="1">
      <c r="B142" s="40">
        <f t="shared" si="2"/>
        <v>138</v>
      </c>
      <c r="C142" s="27" t="s">
        <v>391</v>
      </c>
      <c r="D142" s="29" t="s">
        <v>245</v>
      </c>
      <c r="E142" s="27" t="s">
        <v>865</v>
      </c>
      <c r="F142" s="27" t="s">
        <v>1728</v>
      </c>
      <c r="G142" s="26"/>
      <c r="H142" s="88" t="s">
        <v>3880</v>
      </c>
      <c r="I142" s="50" t="s">
        <v>2599</v>
      </c>
    </row>
    <row r="143" spans="2:9" s="25" customFormat="1" ht="16.5" thickBot="1">
      <c r="B143" s="40">
        <f t="shared" si="2"/>
        <v>139</v>
      </c>
      <c r="C143" s="27" t="s">
        <v>391</v>
      </c>
      <c r="D143" s="29" t="s">
        <v>245</v>
      </c>
      <c r="E143" s="27" t="s">
        <v>865</v>
      </c>
      <c r="F143" s="27" t="s">
        <v>1333</v>
      </c>
      <c r="G143" s="27" t="s">
        <v>921</v>
      </c>
      <c r="H143" s="89" t="s">
        <v>3881</v>
      </c>
    </row>
    <row r="144" spans="2:9" s="25" customFormat="1" ht="16.5" thickBot="1">
      <c r="B144" s="40">
        <f t="shared" si="2"/>
        <v>140</v>
      </c>
      <c r="C144" s="27" t="s">
        <v>391</v>
      </c>
      <c r="D144" s="29" t="s">
        <v>245</v>
      </c>
      <c r="E144" s="27" t="s">
        <v>865</v>
      </c>
      <c r="F144" s="27" t="s">
        <v>1333</v>
      </c>
      <c r="G144" s="27" t="s">
        <v>923</v>
      </c>
      <c r="H144" s="89" t="s">
        <v>3882</v>
      </c>
    </row>
    <row r="145" spans="2:9" s="25" customFormat="1" ht="16.5" thickBot="1">
      <c r="B145" s="40">
        <f t="shared" si="2"/>
        <v>141</v>
      </c>
      <c r="C145" s="27" t="s">
        <v>391</v>
      </c>
      <c r="D145" s="29" t="s">
        <v>245</v>
      </c>
      <c r="E145" s="27" t="s">
        <v>865</v>
      </c>
      <c r="F145" s="27" t="s">
        <v>1333</v>
      </c>
      <c r="G145" s="27" t="s">
        <v>874</v>
      </c>
      <c r="H145" s="89" t="s">
        <v>2602</v>
      </c>
    </row>
    <row r="146" spans="2:9" s="25" customFormat="1" ht="16.5" thickBot="1">
      <c r="B146" s="40">
        <f t="shared" si="2"/>
        <v>142</v>
      </c>
      <c r="C146" s="27" t="s">
        <v>391</v>
      </c>
      <c r="D146" s="29" t="s">
        <v>245</v>
      </c>
      <c r="E146" s="27" t="s">
        <v>865</v>
      </c>
      <c r="F146" s="27" t="s">
        <v>1333</v>
      </c>
      <c r="G146" s="27" t="s">
        <v>989</v>
      </c>
      <c r="H146" s="89" t="s">
        <v>2601</v>
      </c>
    </row>
    <row r="147" spans="2:9" s="25" customFormat="1" ht="16.5" thickBot="1">
      <c r="B147" s="40">
        <f t="shared" si="2"/>
        <v>143</v>
      </c>
      <c r="C147" s="27" t="s">
        <v>391</v>
      </c>
      <c r="D147" s="29" t="s">
        <v>245</v>
      </c>
      <c r="E147" s="27" t="s">
        <v>865</v>
      </c>
      <c r="F147" s="27" t="s">
        <v>1333</v>
      </c>
      <c r="G147" s="27" t="s">
        <v>992</v>
      </c>
      <c r="H147" s="89" t="s">
        <v>2600</v>
      </c>
    </row>
    <row r="148" spans="2:9" s="25" customFormat="1" ht="16.5" thickBot="1">
      <c r="B148" s="40">
        <f t="shared" si="2"/>
        <v>144</v>
      </c>
      <c r="C148" s="27" t="s">
        <v>391</v>
      </c>
      <c r="D148" s="29" t="s">
        <v>245</v>
      </c>
      <c r="E148" s="27" t="s">
        <v>865</v>
      </c>
      <c r="F148" s="68"/>
      <c r="G148" s="27" t="s">
        <v>3520</v>
      </c>
      <c r="H148" s="89" t="s">
        <v>3521</v>
      </c>
    </row>
    <row r="149" spans="2:9" s="25" customFormat="1" ht="9" customHeight="1" thickBot="1">
      <c r="B149" s="23">
        <f t="shared" si="2"/>
        <v>145</v>
      </c>
      <c r="C149" s="43"/>
      <c r="D149" s="43"/>
      <c r="E149" s="43"/>
      <c r="F149" s="43"/>
      <c r="G149" s="43"/>
      <c r="H149" s="94"/>
    </row>
    <row r="150" spans="2:9" s="25" customFormat="1" ht="9" customHeight="1" thickBot="1">
      <c r="B150" s="23">
        <f t="shared" si="2"/>
        <v>146</v>
      </c>
      <c r="C150" s="37"/>
      <c r="D150" s="37"/>
      <c r="E150" s="37"/>
      <c r="F150" s="37"/>
      <c r="G150" s="38"/>
      <c r="H150" s="94"/>
    </row>
    <row r="151" spans="2:9" s="25" customFormat="1" ht="16.5" thickBot="1">
      <c r="B151" s="40">
        <f t="shared" si="2"/>
        <v>147</v>
      </c>
      <c r="C151" s="27" t="s">
        <v>391</v>
      </c>
      <c r="D151" s="29" t="s">
        <v>424</v>
      </c>
      <c r="E151" s="27" t="s">
        <v>865</v>
      </c>
      <c r="F151" s="27" t="s">
        <v>866</v>
      </c>
      <c r="G151" s="26"/>
      <c r="H151" s="88" t="s">
        <v>2604</v>
      </c>
    </row>
    <row r="152" spans="2:9" s="25" customFormat="1" ht="32.25" thickBot="1">
      <c r="B152" s="40">
        <f t="shared" si="2"/>
        <v>148</v>
      </c>
      <c r="C152" s="27" t="s">
        <v>391</v>
      </c>
      <c r="D152" s="29" t="s">
        <v>424</v>
      </c>
      <c r="E152" s="27" t="s">
        <v>865</v>
      </c>
      <c r="F152" s="27" t="s">
        <v>1728</v>
      </c>
      <c r="G152" s="26"/>
      <c r="H152" s="89" t="s">
        <v>3883</v>
      </c>
      <c r="I152" s="50" t="s">
        <v>2605</v>
      </c>
    </row>
    <row r="153" spans="2:9" s="25" customFormat="1" ht="16.5" thickBot="1">
      <c r="B153" s="40">
        <f t="shared" si="2"/>
        <v>149</v>
      </c>
      <c r="C153" s="27" t="s">
        <v>391</v>
      </c>
      <c r="D153" s="29" t="s">
        <v>424</v>
      </c>
      <c r="E153" s="27" t="s">
        <v>865</v>
      </c>
      <c r="F153" s="27" t="s">
        <v>1333</v>
      </c>
      <c r="G153" s="27" t="s">
        <v>949</v>
      </c>
      <c r="H153" s="89" t="s">
        <v>2606</v>
      </c>
    </row>
    <row r="154" spans="2:9" s="25" customFormat="1" ht="16.5" thickBot="1">
      <c r="B154" s="40">
        <f t="shared" si="2"/>
        <v>150</v>
      </c>
      <c r="C154" s="27" t="s">
        <v>391</v>
      </c>
      <c r="D154" s="29" t="s">
        <v>424</v>
      </c>
      <c r="E154" s="27" t="s">
        <v>865</v>
      </c>
      <c r="F154" s="27" t="s">
        <v>1333</v>
      </c>
      <c r="G154" s="27" t="s">
        <v>989</v>
      </c>
      <c r="H154" s="89" t="s">
        <v>2607</v>
      </c>
    </row>
    <row r="155" spans="2:9" s="25" customFormat="1" ht="16.5" thickBot="1">
      <c r="B155" s="40">
        <f t="shared" si="2"/>
        <v>151</v>
      </c>
      <c r="C155" s="27" t="s">
        <v>391</v>
      </c>
      <c r="D155" s="29" t="s">
        <v>424</v>
      </c>
      <c r="E155" s="27" t="s">
        <v>865</v>
      </c>
      <c r="F155" s="27" t="s">
        <v>1333</v>
      </c>
      <c r="G155" s="27" t="s">
        <v>992</v>
      </c>
      <c r="H155" s="89" t="s">
        <v>2608</v>
      </c>
    </row>
    <row r="156" spans="2:9" s="25" customFormat="1" ht="16.5" thickBot="1">
      <c r="B156" s="40">
        <f t="shared" si="2"/>
        <v>152</v>
      </c>
      <c r="C156" s="27" t="s">
        <v>391</v>
      </c>
      <c r="D156" s="29" t="s">
        <v>424</v>
      </c>
      <c r="E156" s="27" t="s">
        <v>865</v>
      </c>
      <c r="F156" s="27"/>
      <c r="G156" s="27" t="s">
        <v>3530</v>
      </c>
      <c r="H156" s="89" t="s">
        <v>3884</v>
      </c>
    </row>
    <row r="157" spans="2:9" s="25" customFormat="1" ht="16.5" thickBot="1">
      <c r="B157" s="40">
        <f t="shared" si="2"/>
        <v>153</v>
      </c>
      <c r="C157" s="27" t="s">
        <v>391</v>
      </c>
      <c r="D157" s="29" t="s">
        <v>424</v>
      </c>
      <c r="E157" s="27" t="s">
        <v>865</v>
      </c>
      <c r="F157" s="27"/>
      <c r="G157" s="27" t="s">
        <v>3524</v>
      </c>
      <c r="H157" s="89" t="s">
        <v>3528</v>
      </c>
    </row>
    <row r="158" spans="2:9" s="25" customFormat="1" ht="16.5" thickBot="1">
      <c r="B158" s="40">
        <f t="shared" si="2"/>
        <v>154</v>
      </c>
      <c r="C158" s="27" t="s">
        <v>391</v>
      </c>
      <c r="D158" s="29" t="s">
        <v>424</v>
      </c>
      <c r="E158" s="27" t="s">
        <v>865</v>
      </c>
      <c r="F158" s="27"/>
      <c r="G158" s="27" t="s">
        <v>3525</v>
      </c>
      <c r="H158" s="89" t="s">
        <v>3529</v>
      </c>
    </row>
    <row r="159" spans="2:9" s="25" customFormat="1" ht="16.5" thickBot="1">
      <c r="B159" s="40">
        <f t="shared" si="2"/>
        <v>155</v>
      </c>
      <c r="C159" s="27"/>
      <c r="D159" s="29"/>
      <c r="E159" s="27"/>
      <c r="F159" s="27"/>
      <c r="G159" s="27" t="s">
        <v>3526</v>
      </c>
      <c r="H159" s="89" t="s">
        <v>3527</v>
      </c>
    </row>
    <row r="160" spans="2:9" s="25" customFormat="1" ht="16.5" thickBot="1">
      <c r="B160" s="40">
        <f t="shared" si="2"/>
        <v>156</v>
      </c>
      <c r="C160" s="27" t="s">
        <v>391</v>
      </c>
      <c r="D160" s="29" t="s">
        <v>424</v>
      </c>
      <c r="E160" s="27" t="s">
        <v>865</v>
      </c>
      <c r="F160" s="27"/>
      <c r="G160" s="27" t="s">
        <v>3523</v>
      </c>
      <c r="H160" s="89" t="s">
        <v>3531</v>
      </c>
    </row>
    <row r="161" spans="2:9" s="25" customFormat="1" ht="32.25" thickBot="1">
      <c r="B161" s="40">
        <f t="shared" si="2"/>
        <v>157</v>
      </c>
      <c r="C161" s="27" t="s">
        <v>391</v>
      </c>
      <c r="D161" s="52" t="s">
        <v>424</v>
      </c>
      <c r="E161" s="27" t="s">
        <v>880</v>
      </c>
      <c r="F161" s="27" t="s">
        <v>1729</v>
      </c>
      <c r="G161" s="27" t="s">
        <v>3522</v>
      </c>
      <c r="H161" s="89" t="s">
        <v>3885</v>
      </c>
    </row>
    <row r="162" spans="2:9" s="25" customFormat="1" ht="9" customHeight="1" thickBot="1">
      <c r="B162" s="23">
        <f t="shared" si="2"/>
        <v>158</v>
      </c>
      <c r="C162" s="43"/>
      <c r="D162" s="43"/>
      <c r="E162" s="43"/>
      <c r="F162" s="43"/>
      <c r="G162" s="43"/>
      <c r="H162" s="94"/>
    </row>
    <row r="163" spans="2:9" s="25" customFormat="1" ht="9" customHeight="1" thickBot="1">
      <c r="B163" s="23">
        <f t="shared" si="2"/>
        <v>159</v>
      </c>
      <c r="C163" s="37"/>
      <c r="D163" s="37"/>
      <c r="E163" s="37"/>
      <c r="F163" s="37"/>
      <c r="G163" s="38"/>
      <c r="H163" s="94"/>
    </row>
    <row r="164" spans="2:9" s="25" customFormat="1" ht="16.5" thickBot="1">
      <c r="B164" s="40">
        <f t="shared" si="2"/>
        <v>160</v>
      </c>
      <c r="C164" s="27" t="s">
        <v>391</v>
      </c>
      <c r="D164" s="29" t="s">
        <v>246</v>
      </c>
      <c r="E164" s="27" t="s">
        <v>865</v>
      </c>
      <c r="F164" s="27" t="s">
        <v>866</v>
      </c>
      <c r="G164" s="26"/>
      <c r="H164" s="88" t="s">
        <v>3886</v>
      </c>
    </row>
    <row r="165" spans="2:9" s="25" customFormat="1" ht="16.5" thickBot="1">
      <c r="B165" s="40">
        <f t="shared" si="2"/>
        <v>161</v>
      </c>
      <c r="C165" s="27" t="s">
        <v>391</v>
      </c>
      <c r="D165" s="29" t="s">
        <v>246</v>
      </c>
      <c r="E165" s="27" t="s">
        <v>865</v>
      </c>
      <c r="F165" s="27" t="s">
        <v>1728</v>
      </c>
      <c r="G165" s="26"/>
      <c r="H165" s="88" t="s">
        <v>3887</v>
      </c>
      <c r="I165" s="50" t="s">
        <v>2609</v>
      </c>
    </row>
    <row r="166" spans="2:9" s="25" customFormat="1" ht="16.5" thickBot="1">
      <c r="B166" s="40">
        <f t="shared" si="2"/>
        <v>162</v>
      </c>
      <c r="C166" s="27" t="s">
        <v>391</v>
      </c>
      <c r="D166" s="29" t="s">
        <v>246</v>
      </c>
      <c r="E166" s="27" t="s">
        <v>865</v>
      </c>
      <c r="F166" s="27" t="s">
        <v>1333</v>
      </c>
      <c r="G166" s="27" t="s">
        <v>921</v>
      </c>
      <c r="H166" s="89" t="s">
        <v>2610</v>
      </c>
    </row>
    <row r="167" spans="2:9" s="25" customFormat="1" ht="16.5" thickBot="1">
      <c r="B167" s="40">
        <f t="shared" si="2"/>
        <v>163</v>
      </c>
      <c r="C167" s="27" t="s">
        <v>391</v>
      </c>
      <c r="D167" s="29" t="s">
        <v>246</v>
      </c>
      <c r="E167" s="27" t="s">
        <v>865</v>
      </c>
      <c r="F167" s="27" t="s">
        <v>1333</v>
      </c>
      <c r="G167" s="27" t="s">
        <v>923</v>
      </c>
      <c r="H167" s="89" t="s">
        <v>2611</v>
      </c>
    </row>
    <row r="168" spans="2:9" s="25" customFormat="1" ht="16.5" thickBot="1">
      <c r="B168" s="40">
        <f t="shared" si="2"/>
        <v>164</v>
      </c>
      <c r="C168" s="27" t="s">
        <v>391</v>
      </c>
      <c r="D168" s="29" t="s">
        <v>246</v>
      </c>
      <c r="E168" s="27" t="s">
        <v>865</v>
      </c>
      <c r="F168" s="27" t="s">
        <v>1333</v>
      </c>
      <c r="G168" s="27" t="s">
        <v>951</v>
      </c>
      <c r="H168" s="89" t="s">
        <v>2612</v>
      </c>
    </row>
    <row r="169" spans="2:9" s="25" customFormat="1" ht="16.5" thickBot="1">
      <c r="B169" s="40">
        <f t="shared" si="2"/>
        <v>165</v>
      </c>
      <c r="C169" s="27" t="s">
        <v>391</v>
      </c>
      <c r="D169" s="29" t="s">
        <v>246</v>
      </c>
      <c r="E169" s="27" t="s">
        <v>865</v>
      </c>
      <c r="F169" s="27"/>
      <c r="G169" s="27" t="s">
        <v>3532</v>
      </c>
      <c r="H169" s="89" t="s">
        <v>3536</v>
      </c>
    </row>
    <row r="170" spans="2:9" s="25" customFormat="1" ht="16.5" thickBot="1">
      <c r="B170" s="40">
        <f t="shared" si="2"/>
        <v>166</v>
      </c>
      <c r="C170" s="27" t="s">
        <v>391</v>
      </c>
      <c r="D170" s="29" t="s">
        <v>246</v>
      </c>
      <c r="E170" s="27" t="s">
        <v>865</v>
      </c>
      <c r="F170" s="27"/>
      <c r="G170" s="27" t="s">
        <v>3533</v>
      </c>
      <c r="H170" s="89" t="s">
        <v>3537</v>
      </c>
    </row>
    <row r="171" spans="2:9" s="25" customFormat="1" ht="15.75" customHeight="1" thickBot="1">
      <c r="B171" s="40">
        <f t="shared" si="2"/>
        <v>167</v>
      </c>
      <c r="C171" s="27" t="s">
        <v>391</v>
      </c>
      <c r="D171" s="29" t="s">
        <v>246</v>
      </c>
      <c r="E171" s="27" t="s">
        <v>865</v>
      </c>
      <c r="F171" s="27"/>
      <c r="G171" s="27" t="s">
        <v>3534</v>
      </c>
      <c r="H171" s="89" t="s">
        <v>3888</v>
      </c>
    </row>
    <row r="172" spans="2:9" s="25" customFormat="1" ht="16.5" thickBot="1">
      <c r="B172" s="40">
        <f t="shared" si="2"/>
        <v>168</v>
      </c>
      <c r="C172" s="27" t="s">
        <v>391</v>
      </c>
      <c r="D172" s="29" t="s">
        <v>246</v>
      </c>
      <c r="E172" s="27" t="s">
        <v>865</v>
      </c>
      <c r="F172" s="27"/>
      <c r="G172" s="27" t="s">
        <v>3535</v>
      </c>
      <c r="H172" s="89" t="s">
        <v>3889</v>
      </c>
    </row>
    <row r="173" spans="2:9" s="25" customFormat="1" ht="32.25" thickBot="1">
      <c r="B173" s="40">
        <f t="shared" si="2"/>
        <v>169</v>
      </c>
      <c r="C173" s="27" t="s">
        <v>391</v>
      </c>
      <c r="D173" s="29" t="s">
        <v>246</v>
      </c>
      <c r="E173" s="27" t="s">
        <v>865</v>
      </c>
      <c r="F173" s="27"/>
      <c r="G173" s="27" t="s">
        <v>2613</v>
      </c>
      <c r="H173" s="89" t="s">
        <v>3890</v>
      </c>
    </row>
    <row r="174" spans="2:9" s="25" customFormat="1" ht="16.5" thickBot="1">
      <c r="B174" s="40">
        <f t="shared" si="2"/>
        <v>170</v>
      </c>
      <c r="C174" s="27" t="s">
        <v>391</v>
      </c>
      <c r="D174" s="29" t="s">
        <v>246</v>
      </c>
      <c r="E174" s="27" t="s">
        <v>865</v>
      </c>
      <c r="F174" s="27"/>
      <c r="G174" s="27" t="s">
        <v>2615</v>
      </c>
      <c r="H174" s="89" t="s">
        <v>3538</v>
      </c>
    </row>
    <row r="175" spans="2:9" s="25" customFormat="1" ht="16.5" thickBot="1">
      <c r="B175" s="40">
        <f t="shared" si="2"/>
        <v>171</v>
      </c>
      <c r="C175" s="27" t="s">
        <v>391</v>
      </c>
      <c r="D175" s="29" t="s">
        <v>246</v>
      </c>
      <c r="E175" s="27" t="s">
        <v>865</v>
      </c>
      <c r="F175" s="68"/>
      <c r="G175" s="27" t="s">
        <v>2614</v>
      </c>
      <c r="H175" s="89" t="s">
        <v>3891</v>
      </c>
    </row>
    <row r="176" spans="2:9" s="25" customFormat="1" ht="16.5" thickBot="1">
      <c r="B176" s="40">
        <f t="shared" si="2"/>
        <v>172</v>
      </c>
      <c r="C176" s="27" t="s">
        <v>391</v>
      </c>
      <c r="D176" s="29" t="s">
        <v>246</v>
      </c>
      <c r="E176" s="27" t="s">
        <v>865</v>
      </c>
      <c r="F176" s="70"/>
      <c r="G176" s="49" t="s">
        <v>3544</v>
      </c>
      <c r="H176" s="90" t="s">
        <v>3545</v>
      </c>
    </row>
    <row r="177" spans="2:9" s="25" customFormat="1" ht="9" customHeight="1" thickBot="1">
      <c r="B177" s="23">
        <f t="shared" si="2"/>
        <v>173</v>
      </c>
      <c r="C177" s="43"/>
      <c r="D177" s="43"/>
      <c r="E177" s="43"/>
      <c r="F177" s="43"/>
      <c r="G177" s="43"/>
      <c r="H177" s="96"/>
    </row>
    <row r="178" spans="2:9" s="25" customFormat="1" ht="9" customHeight="1" thickBot="1">
      <c r="B178" s="23">
        <f t="shared" si="2"/>
        <v>174</v>
      </c>
      <c r="C178" s="37"/>
      <c r="D178" s="37"/>
      <c r="E178" s="37"/>
      <c r="F178" s="37"/>
      <c r="G178" s="38"/>
      <c r="H178" s="94"/>
    </row>
    <row r="179" spans="2:9" s="25" customFormat="1" ht="16.5" thickBot="1">
      <c r="B179" s="40">
        <f t="shared" si="2"/>
        <v>175</v>
      </c>
      <c r="C179" s="27" t="s">
        <v>391</v>
      </c>
      <c r="D179" s="29" t="s">
        <v>247</v>
      </c>
      <c r="E179" s="27" t="s">
        <v>865</v>
      </c>
      <c r="F179" s="27" t="s">
        <v>866</v>
      </c>
      <c r="G179" s="26"/>
      <c r="H179" s="88" t="s">
        <v>3892</v>
      </c>
    </row>
    <row r="180" spans="2:9" s="25" customFormat="1" ht="16.5" thickBot="1">
      <c r="B180" s="40">
        <f t="shared" si="2"/>
        <v>176</v>
      </c>
      <c r="C180" s="27" t="s">
        <v>391</v>
      </c>
      <c r="D180" s="29" t="s">
        <v>247</v>
      </c>
      <c r="E180" s="27" t="s">
        <v>865</v>
      </c>
      <c r="F180" s="27" t="s">
        <v>1728</v>
      </c>
      <c r="G180" s="26"/>
      <c r="H180" s="88" t="s">
        <v>3893</v>
      </c>
      <c r="I180" s="50" t="s">
        <v>2616</v>
      </c>
    </row>
    <row r="181" spans="2:9" s="25" customFormat="1" ht="16.5" thickBot="1">
      <c r="B181" s="40">
        <f t="shared" si="2"/>
        <v>177</v>
      </c>
      <c r="C181" s="27" t="s">
        <v>391</v>
      </c>
      <c r="D181" s="29" t="s">
        <v>247</v>
      </c>
      <c r="E181" s="27" t="s">
        <v>865</v>
      </c>
      <c r="F181" s="27" t="s">
        <v>1333</v>
      </c>
      <c r="G181" s="27" t="s">
        <v>949</v>
      </c>
      <c r="H181" s="89" t="s">
        <v>2619</v>
      </c>
    </row>
    <row r="182" spans="2:9" s="25" customFormat="1" ht="16.5" thickBot="1">
      <c r="B182" s="40">
        <f t="shared" si="2"/>
        <v>178</v>
      </c>
      <c r="C182" s="27" t="s">
        <v>391</v>
      </c>
      <c r="D182" s="29" t="s">
        <v>247</v>
      </c>
      <c r="E182" s="27" t="s">
        <v>865</v>
      </c>
      <c r="F182" s="27" t="s">
        <v>1333</v>
      </c>
      <c r="G182" s="27" t="s">
        <v>951</v>
      </c>
      <c r="H182" s="89" t="s">
        <v>2620</v>
      </c>
    </row>
    <row r="183" spans="2:9" s="25" customFormat="1" ht="16.5" thickBot="1">
      <c r="B183" s="40">
        <f t="shared" si="2"/>
        <v>179</v>
      </c>
      <c r="C183" s="27" t="s">
        <v>391</v>
      </c>
      <c r="D183" s="29" t="s">
        <v>247</v>
      </c>
      <c r="E183" s="27" t="s">
        <v>865</v>
      </c>
      <c r="F183" s="27"/>
      <c r="G183" s="49" t="s">
        <v>2617</v>
      </c>
      <c r="H183" s="90" t="s">
        <v>3543</v>
      </c>
    </row>
    <row r="184" spans="2:9" s="25" customFormat="1" ht="32.25" thickBot="1">
      <c r="B184" s="40">
        <f t="shared" si="2"/>
        <v>180</v>
      </c>
      <c r="C184" s="27" t="s">
        <v>391</v>
      </c>
      <c r="D184" s="29" t="s">
        <v>247</v>
      </c>
      <c r="E184" s="27" t="s">
        <v>865</v>
      </c>
      <c r="F184" s="68"/>
      <c r="G184" s="49" t="s">
        <v>2618</v>
      </c>
      <c r="H184" s="95" t="s">
        <v>3546</v>
      </c>
    </row>
    <row r="185" spans="2:9" s="25" customFormat="1" ht="9" customHeight="1" thickBot="1">
      <c r="B185" s="23">
        <f t="shared" si="2"/>
        <v>181</v>
      </c>
      <c r="C185" s="43"/>
      <c r="D185" s="43"/>
      <c r="E185" s="43"/>
      <c r="F185" s="43"/>
      <c r="G185" s="43"/>
      <c r="H185" s="96"/>
    </row>
    <row r="186" spans="2:9" s="25" customFormat="1" ht="9" customHeight="1" thickBot="1">
      <c r="B186" s="23">
        <f t="shared" si="2"/>
        <v>182</v>
      </c>
      <c r="C186" s="37"/>
      <c r="D186" s="37"/>
      <c r="E186" s="37"/>
      <c r="F186" s="37"/>
      <c r="G186" s="38"/>
      <c r="H186" s="94"/>
    </row>
    <row r="187" spans="2:9" s="25" customFormat="1" ht="16.5" thickBot="1">
      <c r="B187" s="40">
        <f t="shared" si="2"/>
        <v>183</v>
      </c>
      <c r="C187" s="27" t="s">
        <v>391</v>
      </c>
      <c r="D187" s="29" t="s">
        <v>248</v>
      </c>
      <c r="E187" s="27" t="s">
        <v>865</v>
      </c>
      <c r="F187" s="27" t="s">
        <v>866</v>
      </c>
      <c r="G187" s="26"/>
      <c r="H187" s="88" t="s">
        <v>3894</v>
      </c>
    </row>
    <row r="188" spans="2:9" s="25" customFormat="1" ht="16.5" thickBot="1">
      <c r="B188" s="40">
        <f t="shared" si="2"/>
        <v>184</v>
      </c>
      <c r="C188" s="27" t="s">
        <v>391</v>
      </c>
      <c r="D188" s="29" t="s">
        <v>248</v>
      </c>
      <c r="E188" s="27" t="s">
        <v>865</v>
      </c>
      <c r="F188" s="27" t="s">
        <v>1728</v>
      </c>
      <c r="G188" s="26"/>
      <c r="H188" s="88" t="s">
        <v>3895</v>
      </c>
      <c r="I188" s="50" t="s">
        <v>2621</v>
      </c>
    </row>
    <row r="189" spans="2:9" s="25" customFormat="1" ht="16.5" thickBot="1">
      <c r="B189" s="40">
        <f t="shared" si="2"/>
        <v>185</v>
      </c>
      <c r="C189" s="27" t="s">
        <v>391</v>
      </c>
      <c r="D189" s="29" t="s">
        <v>248</v>
      </c>
      <c r="E189" s="27" t="s">
        <v>865</v>
      </c>
      <c r="F189" s="27" t="s">
        <v>1333</v>
      </c>
      <c r="G189" s="27" t="s">
        <v>921</v>
      </c>
      <c r="H189" s="89" t="s">
        <v>2622</v>
      </c>
    </row>
    <row r="190" spans="2:9" s="25" customFormat="1" ht="16.5" thickBot="1">
      <c r="B190" s="40">
        <f t="shared" si="2"/>
        <v>186</v>
      </c>
      <c r="C190" s="27" t="s">
        <v>391</v>
      </c>
      <c r="D190" s="29" t="s">
        <v>248</v>
      </c>
      <c r="E190" s="27" t="s">
        <v>865</v>
      </c>
      <c r="F190" s="27" t="s">
        <v>1333</v>
      </c>
      <c r="G190" s="27" t="s">
        <v>992</v>
      </c>
      <c r="H190" s="89" t="s">
        <v>2623</v>
      </c>
    </row>
    <row r="191" spans="2:9" s="25" customFormat="1" ht="16.5" thickBot="1">
      <c r="B191" s="40">
        <f t="shared" ref="B191:B196" si="3">B190+1</f>
        <v>187</v>
      </c>
      <c r="C191" s="27" t="s">
        <v>391</v>
      </c>
      <c r="D191" s="29" t="s">
        <v>248</v>
      </c>
      <c r="E191" s="27" t="s">
        <v>865</v>
      </c>
      <c r="F191" s="27" t="s">
        <v>1333</v>
      </c>
      <c r="G191" s="27" t="s">
        <v>951</v>
      </c>
      <c r="H191" s="89" t="s">
        <v>2623</v>
      </c>
    </row>
    <row r="192" spans="2:9" s="25" customFormat="1" ht="16.5" thickBot="1">
      <c r="B192" s="40">
        <f t="shared" si="3"/>
        <v>188</v>
      </c>
      <c r="C192" s="27" t="s">
        <v>391</v>
      </c>
      <c r="D192" s="29" t="s">
        <v>248</v>
      </c>
      <c r="E192" s="27" t="s">
        <v>865</v>
      </c>
      <c r="F192" s="27"/>
      <c r="G192" s="49" t="s">
        <v>2624</v>
      </c>
      <c r="H192" s="90"/>
    </row>
    <row r="193" spans="2:9" s="25" customFormat="1" ht="16.5" thickBot="1">
      <c r="B193" s="40">
        <f t="shared" si="3"/>
        <v>189</v>
      </c>
      <c r="C193" s="27" t="s">
        <v>391</v>
      </c>
      <c r="D193" s="29" t="s">
        <v>248</v>
      </c>
      <c r="E193" s="27" t="s">
        <v>865</v>
      </c>
      <c r="F193" s="27"/>
      <c r="G193" s="49" t="s">
        <v>2625</v>
      </c>
      <c r="H193" s="95" t="s">
        <v>3540</v>
      </c>
    </row>
    <row r="194" spans="2:9" s="25" customFormat="1" ht="16.5" thickBot="1">
      <c r="B194" s="40">
        <f t="shared" si="3"/>
        <v>190</v>
      </c>
      <c r="C194" s="27" t="s">
        <v>391</v>
      </c>
      <c r="D194" s="29" t="s">
        <v>248</v>
      </c>
      <c r="E194" s="27" t="s">
        <v>865</v>
      </c>
      <c r="F194" s="27"/>
      <c r="G194" s="49" t="s">
        <v>2626</v>
      </c>
      <c r="H194" s="95" t="s">
        <v>3539</v>
      </c>
    </row>
    <row r="195" spans="2:9" s="25" customFormat="1" ht="16.5" thickBot="1">
      <c r="B195" s="40">
        <f t="shared" si="3"/>
        <v>191</v>
      </c>
      <c r="C195" s="27" t="s">
        <v>391</v>
      </c>
      <c r="D195" s="29" t="s">
        <v>248</v>
      </c>
      <c r="E195" s="27" t="s">
        <v>865</v>
      </c>
      <c r="F195" s="27"/>
      <c r="G195" s="49" t="s">
        <v>2627</v>
      </c>
      <c r="H195" s="95" t="s">
        <v>3542</v>
      </c>
    </row>
    <row r="196" spans="2:9" s="25" customFormat="1" ht="16.5" thickBot="1">
      <c r="B196" s="40">
        <f t="shared" si="3"/>
        <v>192</v>
      </c>
      <c r="C196" s="27" t="s">
        <v>391</v>
      </c>
      <c r="D196" s="29" t="s">
        <v>248</v>
      </c>
      <c r="E196" s="27" t="s">
        <v>865</v>
      </c>
      <c r="F196" s="27"/>
      <c r="G196" s="49" t="s">
        <v>3541</v>
      </c>
      <c r="H196" s="95" t="s">
        <v>3896</v>
      </c>
    </row>
    <row r="197" spans="2:9" s="25" customFormat="1" ht="9" customHeight="1" thickBot="1">
      <c r="B197" s="23">
        <f t="shared" ref="B197:B215" si="4">B196+1</f>
        <v>193</v>
      </c>
      <c r="C197" s="43"/>
      <c r="D197" s="43"/>
      <c r="E197" s="43"/>
      <c r="F197" s="43"/>
      <c r="G197" s="43"/>
      <c r="H197" s="96"/>
    </row>
    <row r="198" spans="2:9" s="25" customFormat="1" ht="9" customHeight="1" thickBot="1">
      <c r="B198" s="23">
        <f t="shared" si="4"/>
        <v>194</v>
      </c>
      <c r="C198" s="37"/>
      <c r="D198" s="37"/>
      <c r="E198" s="37"/>
      <c r="F198" s="37"/>
      <c r="G198" s="38"/>
      <c r="H198" s="94"/>
    </row>
    <row r="199" spans="2:9" s="25" customFormat="1" ht="16.5" thickBot="1">
      <c r="B199" s="40">
        <f t="shared" si="4"/>
        <v>195</v>
      </c>
      <c r="C199" s="27" t="s">
        <v>391</v>
      </c>
      <c r="D199" s="29" t="s">
        <v>249</v>
      </c>
      <c r="E199" s="27" t="s">
        <v>865</v>
      </c>
      <c r="F199" s="27" t="s">
        <v>866</v>
      </c>
      <c r="G199" s="26"/>
      <c r="H199" s="88" t="s">
        <v>2628</v>
      </c>
    </row>
    <row r="200" spans="2:9" s="25" customFormat="1" ht="16.5" thickBot="1">
      <c r="B200" s="40">
        <f t="shared" si="4"/>
        <v>196</v>
      </c>
      <c r="C200" s="27" t="s">
        <v>391</v>
      </c>
      <c r="D200" s="29" t="s">
        <v>249</v>
      </c>
      <c r="E200" s="27" t="s">
        <v>865</v>
      </c>
      <c r="F200" s="27" t="s">
        <v>1728</v>
      </c>
      <c r="G200" s="26"/>
      <c r="H200" s="89" t="s">
        <v>3897</v>
      </c>
      <c r="I200" s="50" t="s">
        <v>2629</v>
      </c>
    </row>
    <row r="201" spans="2:9" s="25" customFormat="1" ht="16.5" thickBot="1">
      <c r="B201" s="40">
        <f t="shared" si="4"/>
        <v>197</v>
      </c>
      <c r="C201" s="27" t="s">
        <v>391</v>
      </c>
      <c r="D201" s="29" t="s">
        <v>249</v>
      </c>
      <c r="E201" s="27" t="s">
        <v>865</v>
      </c>
      <c r="F201" s="27" t="s">
        <v>1333</v>
      </c>
      <c r="G201" s="27" t="s">
        <v>923</v>
      </c>
      <c r="H201" s="89" t="s">
        <v>2630</v>
      </c>
      <c r="I201" s="50"/>
    </row>
    <row r="202" spans="2:9" s="25" customFormat="1" ht="16.5" thickBot="1">
      <c r="B202" s="40">
        <f t="shared" si="4"/>
        <v>198</v>
      </c>
      <c r="C202" s="27" t="s">
        <v>391</v>
      </c>
      <c r="D202" s="29" t="s">
        <v>249</v>
      </c>
      <c r="E202" s="27" t="s">
        <v>865</v>
      </c>
      <c r="F202" s="27" t="s">
        <v>1333</v>
      </c>
      <c r="G202" s="27" t="s">
        <v>992</v>
      </c>
      <c r="H202" s="89" t="s">
        <v>2631</v>
      </c>
      <c r="I202" s="50"/>
    </row>
    <row r="203" spans="2:9" s="25" customFormat="1" ht="16.5" thickBot="1">
      <c r="B203" s="40">
        <f t="shared" si="4"/>
        <v>199</v>
      </c>
      <c r="C203" s="27" t="s">
        <v>391</v>
      </c>
      <c r="D203" s="29" t="s">
        <v>249</v>
      </c>
      <c r="E203" s="27" t="s">
        <v>865</v>
      </c>
      <c r="F203" s="27" t="s">
        <v>1333</v>
      </c>
      <c r="G203" s="27" t="s">
        <v>870</v>
      </c>
      <c r="H203" s="89" t="s">
        <v>2632</v>
      </c>
      <c r="I203" s="81"/>
    </row>
    <row r="204" spans="2:9" s="25" customFormat="1" ht="32.25" thickBot="1">
      <c r="B204" s="40">
        <f t="shared" si="4"/>
        <v>200</v>
      </c>
      <c r="C204" s="27" t="s">
        <v>391</v>
      </c>
      <c r="D204" s="29" t="s">
        <v>249</v>
      </c>
      <c r="E204" s="27" t="s">
        <v>880</v>
      </c>
      <c r="F204" s="27" t="s">
        <v>1774</v>
      </c>
      <c r="G204" s="27" t="s">
        <v>2942</v>
      </c>
      <c r="H204" s="89" t="s">
        <v>2633</v>
      </c>
      <c r="I204" s="81"/>
    </row>
    <row r="205" spans="2:9" s="25" customFormat="1" ht="32.25" thickBot="1">
      <c r="B205" s="40">
        <f t="shared" si="4"/>
        <v>201</v>
      </c>
      <c r="C205" s="27" t="s">
        <v>391</v>
      </c>
      <c r="D205" s="29" t="s">
        <v>249</v>
      </c>
      <c r="E205" s="27" t="s">
        <v>865</v>
      </c>
      <c r="F205" s="68"/>
      <c r="G205" s="27" t="s">
        <v>3547</v>
      </c>
      <c r="H205" s="89" t="s">
        <v>3898</v>
      </c>
      <c r="I205" s="81"/>
    </row>
    <row r="206" spans="2:9" s="25" customFormat="1" ht="9" customHeight="1" thickBot="1">
      <c r="B206" s="45">
        <f t="shared" si="4"/>
        <v>202</v>
      </c>
      <c r="C206" s="43"/>
      <c r="D206" s="43"/>
      <c r="E206" s="43"/>
      <c r="F206" s="43"/>
      <c r="G206" s="43"/>
      <c r="H206" s="94"/>
    </row>
    <row r="207" spans="2:9" s="25" customFormat="1" ht="9" customHeight="1" thickBot="1">
      <c r="B207" s="23">
        <f t="shared" si="4"/>
        <v>203</v>
      </c>
      <c r="C207" s="37"/>
      <c r="D207" s="37"/>
      <c r="E207" s="37"/>
      <c r="F207" s="37"/>
      <c r="G207" s="38"/>
      <c r="H207" s="94"/>
    </row>
    <row r="208" spans="2:9" s="25" customFormat="1" ht="16.5" thickBot="1">
      <c r="B208" s="40">
        <f t="shared" si="4"/>
        <v>204</v>
      </c>
      <c r="C208" s="27" t="s">
        <v>391</v>
      </c>
      <c r="D208" s="29" t="s">
        <v>190</v>
      </c>
      <c r="E208" s="27" t="s">
        <v>865</v>
      </c>
      <c r="F208" s="27" t="s">
        <v>866</v>
      </c>
      <c r="G208" s="26"/>
      <c r="H208" s="88" t="s">
        <v>2635</v>
      </c>
    </row>
    <row r="209" spans="2:11" s="25" customFormat="1" ht="16.5" thickBot="1">
      <c r="B209" s="40">
        <f t="shared" si="4"/>
        <v>205</v>
      </c>
      <c r="C209" s="27" t="s">
        <v>391</v>
      </c>
      <c r="D209" s="29" t="s">
        <v>190</v>
      </c>
      <c r="E209" s="27" t="s">
        <v>865</v>
      </c>
      <c r="F209" s="27" t="s">
        <v>1728</v>
      </c>
      <c r="G209" s="26"/>
      <c r="H209" s="88" t="s">
        <v>3899</v>
      </c>
      <c r="I209" s="50" t="s">
        <v>2638</v>
      </c>
    </row>
    <row r="210" spans="2:11" s="25" customFormat="1" ht="16.5" thickBot="1">
      <c r="B210" s="40">
        <f t="shared" si="4"/>
        <v>206</v>
      </c>
      <c r="C210" s="27" t="s">
        <v>391</v>
      </c>
      <c r="D210" s="29" t="s">
        <v>190</v>
      </c>
      <c r="E210" s="27" t="s">
        <v>865</v>
      </c>
      <c r="F210" s="27" t="s">
        <v>1333</v>
      </c>
      <c r="G210" s="27" t="s">
        <v>949</v>
      </c>
      <c r="H210" s="89" t="s">
        <v>2634</v>
      </c>
      <c r="I210" s="81"/>
    </row>
    <row r="211" spans="2:11" s="25" customFormat="1" ht="16.5" thickBot="1">
      <c r="B211" s="40">
        <f t="shared" si="4"/>
        <v>207</v>
      </c>
      <c r="C211" s="27" t="s">
        <v>391</v>
      </c>
      <c r="D211" s="29" t="s">
        <v>190</v>
      </c>
      <c r="E211" s="27" t="s">
        <v>865</v>
      </c>
      <c r="F211" s="27" t="s">
        <v>1333</v>
      </c>
      <c r="G211" s="27" t="s">
        <v>951</v>
      </c>
      <c r="H211" s="89" t="s">
        <v>2634</v>
      </c>
      <c r="I211" s="81"/>
    </row>
    <row r="212" spans="2:11" s="25" customFormat="1" ht="32.25" thickBot="1">
      <c r="B212" s="40">
        <f t="shared" si="4"/>
        <v>208</v>
      </c>
      <c r="C212" s="27" t="s">
        <v>391</v>
      </c>
      <c r="D212" s="29" t="s">
        <v>190</v>
      </c>
      <c r="E212" s="27" t="s">
        <v>865</v>
      </c>
      <c r="F212" s="27"/>
      <c r="G212" s="27" t="s">
        <v>3547</v>
      </c>
      <c r="H212" s="89" t="s">
        <v>3900</v>
      </c>
      <c r="I212" s="81"/>
    </row>
    <row r="213" spans="2:11" s="25" customFormat="1" ht="16.5" thickBot="1">
      <c r="B213" s="40">
        <f t="shared" si="4"/>
        <v>209</v>
      </c>
      <c r="C213" s="27" t="s">
        <v>391</v>
      </c>
      <c r="D213" s="29" t="s">
        <v>190</v>
      </c>
      <c r="E213" s="27" t="s">
        <v>865</v>
      </c>
      <c r="F213" s="27"/>
      <c r="G213" s="27" t="s">
        <v>2636</v>
      </c>
      <c r="H213" s="89" t="s">
        <v>3549</v>
      </c>
      <c r="I213" s="81"/>
    </row>
    <row r="214" spans="2:11" s="25" customFormat="1" ht="16.5" thickBot="1">
      <c r="B214" s="40">
        <f t="shared" si="4"/>
        <v>210</v>
      </c>
      <c r="C214" s="27" t="s">
        <v>391</v>
      </c>
      <c r="D214" s="29" t="s">
        <v>190</v>
      </c>
      <c r="E214" s="27" t="s">
        <v>865</v>
      </c>
      <c r="F214" s="27"/>
      <c r="G214" s="27" t="s">
        <v>2637</v>
      </c>
      <c r="H214" s="89" t="s">
        <v>3548</v>
      </c>
      <c r="I214" s="81"/>
    </row>
    <row r="215" spans="2:11" s="25" customFormat="1" ht="9" customHeight="1" thickBot="1">
      <c r="B215" s="23">
        <f t="shared" si="4"/>
        <v>211</v>
      </c>
      <c r="C215" s="43"/>
      <c r="D215" s="43"/>
      <c r="E215" s="43"/>
      <c r="F215" s="43"/>
      <c r="G215" s="43"/>
      <c r="H215" s="44"/>
    </row>
    <row r="216" spans="2:11" ht="16.5" thickBot="1">
      <c r="E216" s="25"/>
      <c r="K216" s="10"/>
    </row>
    <row r="217" spans="2:11" ht="15.75" thickBot="1">
      <c r="C217" s="111"/>
      <c r="D217" s="112"/>
      <c r="F217" s="111"/>
      <c r="G217" s="113"/>
      <c r="H217" s="113"/>
      <c r="I217" s="113"/>
      <c r="J217" s="112"/>
    </row>
    <row r="218" spans="2:11">
      <c r="C218" s="72"/>
      <c r="D218" s="73"/>
      <c r="F218" s="72"/>
      <c r="G218" s="76"/>
      <c r="H218" s="76"/>
      <c r="I218" s="76"/>
      <c r="J218" s="73"/>
    </row>
    <row r="219" spans="2:11">
      <c r="C219" s="72"/>
      <c r="D219" s="73"/>
      <c r="F219" s="72"/>
      <c r="G219" s="76"/>
      <c r="H219" s="76"/>
      <c r="I219" s="76"/>
      <c r="J219" s="73"/>
    </row>
    <row r="220" spans="2:11">
      <c r="C220" s="72"/>
      <c r="D220" s="73"/>
      <c r="F220" s="72"/>
      <c r="G220" s="76"/>
      <c r="H220" s="76"/>
      <c r="I220" s="76"/>
      <c r="J220" s="73"/>
    </row>
    <row r="221" spans="2:11">
      <c r="C221" s="72"/>
      <c r="D221" s="73"/>
      <c r="F221" s="72"/>
      <c r="G221" s="76"/>
      <c r="H221" s="76"/>
      <c r="I221" s="76"/>
      <c r="J221" s="73"/>
    </row>
    <row r="222" spans="2:11">
      <c r="C222" s="72"/>
      <c r="D222" s="73"/>
      <c r="F222" s="72"/>
      <c r="G222" s="76"/>
      <c r="H222" s="76"/>
      <c r="I222" s="76"/>
      <c r="J222" s="73"/>
    </row>
    <row r="223" spans="2:11">
      <c r="C223" s="72"/>
      <c r="D223" s="73"/>
      <c r="F223" s="72"/>
      <c r="G223" s="76"/>
      <c r="H223" s="76"/>
      <c r="I223" s="76"/>
      <c r="J223" s="73"/>
    </row>
    <row r="224" spans="2:11">
      <c r="C224" s="72"/>
      <c r="D224" s="73"/>
      <c r="F224" s="72"/>
      <c r="G224" s="76"/>
      <c r="H224" s="76"/>
      <c r="I224" s="76"/>
      <c r="J224" s="73"/>
    </row>
    <row r="225" spans="3:10">
      <c r="C225" s="72"/>
      <c r="D225" s="73"/>
      <c r="F225" s="72"/>
      <c r="G225" s="76"/>
      <c r="H225" s="76"/>
      <c r="I225" s="76"/>
      <c r="J225" s="73"/>
    </row>
    <row r="226" spans="3:10">
      <c r="C226" s="72"/>
      <c r="D226" s="73"/>
      <c r="F226" s="72"/>
      <c r="G226" s="76"/>
      <c r="H226" s="76"/>
      <c r="I226" s="76"/>
      <c r="J226" s="73"/>
    </row>
    <row r="227" spans="3:10">
      <c r="C227" s="72"/>
      <c r="D227" s="73"/>
      <c r="F227" s="72"/>
      <c r="G227" s="76"/>
      <c r="H227" s="76"/>
      <c r="I227" s="76"/>
      <c r="J227" s="73"/>
    </row>
    <row r="228" spans="3:10">
      <c r="C228" s="72"/>
      <c r="D228" s="73"/>
      <c r="F228" s="72"/>
      <c r="G228" s="76"/>
      <c r="H228" s="76"/>
      <c r="I228" s="76"/>
      <c r="J228" s="73"/>
    </row>
    <row r="229" spans="3:10">
      <c r="C229" s="72"/>
      <c r="D229" s="73"/>
      <c r="F229" s="72"/>
      <c r="G229" s="76"/>
      <c r="H229" s="76"/>
      <c r="I229" s="76"/>
      <c r="J229" s="73"/>
    </row>
    <row r="230" spans="3:10">
      <c r="C230" s="72"/>
      <c r="D230" s="73"/>
      <c r="F230" s="72"/>
      <c r="G230" s="76"/>
      <c r="H230" s="76"/>
      <c r="I230" s="76"/>
      <c r="J230" s="73"/>
    </row>
    <row r="231" spans="3:10">
      <c r="C231" s="72"/>
      <c r="D231" s="73"/>
      <c r="F231" s="72"/>
      <c r="G231" s="76"/>
      <c r="H231" s="76"/>
      <c r="I231" s="76"/>
      <c r="J231" s="73"/>
    </row>
    <row r="232" spans="3:10">
      <c r="C232" s="72"/>
      <c r="D232" s="73"/>
      <c r="F232" s="72"/>
      <c r="G232" s="76"/>
      <c r="H232" s="76"/>
      <c r="I232" s="76"/>
      <c r="J232" s="73"/>
    </row>
    <row r="233" spans="3:10">
      <c r="C233" s="72"/>
      <c r="D233" s="73"/>
      <c r="F233" s="72"/>
      <c r="G233" s="76"/>
      <c r="H233" s="76"/>
      <c r="I233" s="76"/>
      <c r="J233" s="73"/>
    </row>
    <row r="234" spans="3:10">
      <c r="C234" s="72"/>
      <c r="D234" s="73"/>
      <c r="F234" s="72"/>
      <c r="G234" s="76"/>
      <c r="H234" s="76"/>
      <c r="I234" s="76"/>
      <c r="J234" s="73"/>
    </row>
    <row r="235" spans="3:10">
      <c r="C235" s="72"/>
      <c r="D235" s="73"/>
      <c r="F235" s="72"/>
      <c r="G235" s="76"/>
      <c r="H235" s="76"/>
      <c r="I235" s="76"/>
      <c r="J235" s="73"/>
    </row>
    <row r="236" spans="3:10">
      <c r="C236" s="72"/>
      <c r="D236" s="73"/>
      <c r="F236" s="72"/>
      <c r="G236" s="76"/>
      <c r="H236" s="76"/>
      <c r="I236" s="76"/>
      <c r="J236" s="73"/>
    </row>
    <row r="237" spans="3:10">
      <c r="C237" s="72"/>
      <c r="D237" s="73"/>
      <c r="F237" s="72"/>
      <c r="G237" s="76"/>
      <c r="H237" s="76"/>
      <c r="I237" s="76"/>
      <c r="J237" s="73"/>
    </row>
    <row r="238" spans="3:10">
      <c r="C238" s="72"/>
      <c r="D238" s="73"/>
      <c r="F238" s="72"/>
      <c r="G238" s="76"/>
      <c r="H238" s="76"/>
      <c r="I238" s="76"/>
      <c r="J238" s="73"/>
    </row>
    <row r="239" spans="3:10">
      <c r="C239" s="72"/>
      <c r="D239" s="73"/>
      <c r="F239" s="72"/>
      <c r="G239" s="76"/>
      <c r="H239" s="76"/>
      <c r="I239" s="76"/>
      <c r="J239" s="73"/>
    </row>
    <row r="240" spans="3:10">
      <c r="C240" s="72"/>
      <c r="D240" s="73"/>
      <c r="F240" s="72"/>
      <c r="G240" s="76"/>
      <c r="H240" s="76"/>
      <c r="I240" s="76"/>
      <c r="J240" s="73"/>
    </row>
    <row r="241" spans="3:10">
      <c r="C241" s="72"/>
      <c r="D241" s="73"/>
      <c r="F241" s="72"/>
      <c r="G241" s="76"/>
      <c r="H241" s="76"/>
      <c r="I241" s="76"/>
      <c r="J241" s="73"/>
    </row>
    <row r="242" spans="3:10">
      <c r="C242" s="72"/>
      <c r="D242" s="73"/>
      <c r="F242" s="72"/>
      <c r="G242" s="76"/>
      <c r="H242" s="76"/>
      <c r="I242" s="76"/>
      <c r="J242" s="73"/>
    </row>
    <row r="243" spans="3:10">
      <c r="C243" s="72"/>
      <c r="D243" s="73"/>
      <c r="F243" s="72"/>
      <c r="G243" s="76"/>
      <c r="H243" s="76"/>
      <c r="I243" s="76"/>
      <c r="J243" s="73"/>
    </row>
    <row r="244" spans="3:10">
      <c r="C244" s="72"/>
      <c r="D244" s="73"/>
      <c r="F244" s="72"/>
      <c r="G244" s="76"/>
      <c r="H244" s="76"/>
      <c r="I244" s="76"/>
      <c r="J244" s="73"/>
    </row>
    <row r="245" spans="3:10">
      <c r="C245" s="72"/>
      <c r="D245" s="73"/>
      <c r="F245" s="72"/>
      <c r="G245" s="76"/>
      <c r="H245" s="76"/>
      <c r="I245" s="76"/>
      <c r="J245" s="73"/>
    </row>
    <row r="246" spans="3:10">
      <c r="C246" s="72"/>
      <c r="D246" s="73"/>
      <c r="F246" s="72"/>
      <c r="G246" s="76"/>
      <c r="H246" s="76"/>
      <c r="I246" s="76"/>
      <c r="J246" s="73"/>
    </row>
    <row r="247" spans="3:10">
      <c r="C247" s="72"/>
      <c r="D247" s="73"/>
      <c r="F247" s="72"/>
      <c r="G247" s="76"/>
      <c r="H247" s="76"/>
      <c r="I247" s="76"/>
      <c r="J247" s="73"/>
    </row>
    <row r="248" spans="3:10">
      <c r="C248" s="72"/>
      <c r="D248" s="73"/>
      <c r="F248" s="72"/>
      <c r="G248" s="76"/>
      <c r="H248" s="76"/>
      <c r="I248" s="76"/>
      <c r="J248" s="73"/>
    </row>
    <row r="249" spans="3:10">
      <c r="C249" s="72"/>
      <c r="D249" s="73"/>
      <c r="F249" s="72"/>
      <c r="G249" s="76"/>
      <c r="H249" s="76"/>
      <c r="I249" s="76"/>
      <c r="J249" s="73"/>
    </row>
    <row r="250" spans="3:10">
      <c r="C250" s="72"/>
      <c r="D250" s="73"/>
      <c r="F250" s="72"/>
      <c r="G250" s="76"/>
      <c r="H250" s="76"/>
      <c r="I250" s="76"/>
      <c r="J250" s="73"/>
    </row>
    <row r="251" spans="3:10">
      <c r="C251" s="72"/>
      <c r="D251" s="73"/>
      <c r="F251" s="72"/>
      <c r="G251" s="76"/>
      <c r="H251" s="76"/>
      <c r="I251" s="76"/>
      <c r="J251" s="73"/>
    </row>
    <row r="252" spans="3:10">
      <c r="C252" s="72"/>
      <c r="D252" s="73"/>
      <c r="F252" s="72"/>
      <c r="G252" s="76"/>
      <c r="H252" s="76"/>
      <c r="I252" s="76"/>
      <c r="J252" s="73"/>
    </row>
    <row r="253" spans="3:10">
      <c r="C253" s="72"/>
      <c r="D253" s="73"/>
      <c r="F253" s="72"/>
      <c r="G253" s="76"/>
      <c r="H253" s="76"/>
      <c r="I253" s="76"/>
      <c r="J253" s="73"/>
    </row>
    <row r="254" spans="3:10">
      <c r="C254" s="72"/>
      <c r="D254" s="73"/>
      <c r="F254" s="72"/>
      <c r="G254" s="76"/>
      <c r="H254" s="76"/>
      <c r="I254" s="76"/>
      <c r="J254" s="73"/>
    </row>
    <row r="255" spans="3:10">
      <c r="C255" s="72"/>
      <c r="D255" s="73"/>
      <c r="F255" s="72"/>
      <c r="G255" s="76"/>
      <c r="H255" s="76"/>
      <c r="I255" s="76"/>
      <c r="J255" s="73"/>
    </row>
    <row r="256" spans="3:10">
      <c r="C256" s="72"/>
      <c r="D256" s="73"/>
      <c r="F256" s="72"/>
      <c r="G256" s="76"/>
      <c r="H256" s="76"/>
      <c r="I256" s="76"/>
      <c r="J256" s="73"/>
    </row>
    <row r="257" spans="3:10">
      <c r="C257" s="72"/>
      <c r="D257" s="73"/>
      <c r="F257" s="72"/>
      <c r="G257" s="76"/>
      <c r="H257" s="76"/>
      <c r="I257" s="76"/>
      <c r="J257" s="73"/>
    </row>
    <row r="258" spans="3:10">
      <c r="C258" s="72"/>
      <c r="D258" s="73"/>
      <c r="F258" s="72"/>
      <c r="G258" s="76"/>
      <c r="H258" s="76"/>
      <c r="I258" s="76"/>
      <c r="J258" s="73"/>
    </row>
    <row r="259" spans="3:10">
      <c r="C259" s="72"/>
      <c r="D259" s="73"/>
      <c r="F259" s="72"/>
      <c r="G259" s="76"/>
      <c r="H259" s="76"/>
      <c r="I259" s="76"/>
      <c r="J259" s="73"/>
    </row>
    <row r="260" spans="3:10">
      <c r="C260" s="72"/>
      <c r="D260" s="73"/>
      <c r="F260" s="72"/>
      <c r="G260" s="76"/>
      <c r="H260" s="76"/>
      <c r="I260" s="76"/>
      <c r="J260" s="73"/>
    </row>
    <row r="261" spans="3:10">
      <c r="C261" s="72"/>
      <c r="D261" s="73"/>
      <c r="F261" s="72"/>
      <c r="G261" s="76"/>
      <c r="H261" s="76"/>
      <c r="I261" s="76"/>
      <c r="J261" s="73"/>
    </row>
    <row r="262" spans="3:10">
      <c r="C262" s="72"/>
      <c r="D262" s="73"/>
      <c r="F262" s="72"/>
      <c r="G262" s="76"/>
      <c r="H262" s="76"/>
      <c r="I262" s="76"/>
      <c r="J262" s="73"/>
    </row>
    <row r="263" spans="3:10">
      <c r="C263" s="72"/>
      <c r="D263" s="73"/>
      <c r="F263" s="72"/>
      <c r="G263" s="76"/>
      <c r="H263" s="76"/>
      <c r="I263" s="76"/>
      <c r="J263" s="73"/>
    </row>
    <row r="264" spans="3:10">
      <c r="C264" s="72"/>
      <c r="D264" s="73"/>
      <c r="F264" s="72"/>
      <c r="G264" s="76"/>
      <c r="H264" s="76"/>
      <c r="I264" s="76"/>
      <c r="J264" s="73"/>
    </row>
    <row r="265" spans="3:10">
      <c r="C265" s="72"/>
      <c r="D265" s="73"/>
      <c r="F265" s="72"/>
      <c r="G265" s="76"/>
      <c r="H265" s="76"/>
      <c r="I265" s="76"/>
      <c r="J265" s="73"/>
    </row>
    <row r="266" spans="3:10">
      <c r="C266" s="72"/>
      <c r="D266" s="73"/>
      <c r="F266" s="72"/>
      <c r="G266" s="76"/>
      <c r="H266" s="76"/>
      <c r="I266" s="76"/>
      <c r="J266" s="73"/>
    </row>
    <row r="267" spans="3:10">
      <c r="C267" s="72"/>
      <c r="D267" s="73"/>
      <c r="F267" s="72"/>
      <c r="G267" s="76"/>
      <c r="H267" s="76"/>
      <c r="I267" s="76"/>
      <c r="J267" s="73"/>
    </row>
    <row r="268" spans="3:10">
      <c r="C268" s="72"/>
      <c r="D268" s="73"/>
      <c r="F268" s="72"/>
      <c r="G268" s="76"/>
      <c r="H268" s="76"/>
      <c r="I268" s="76"/>
      <c r="J268" s="73"/>
    </row>
    <row r="269" spans="3:10">
      <c r="C269" s="72"/>
      <c r="D269" s="73"/>
      <c r="F269" s="72"/>
      <c r="G269" s="76"/>
      <c r="H269" s="76"/>
      <c r="I269" s="76"/>
      <c r="J269" s="73"/>
    </row>
    <row r="270" spans="3:10">
      <c r="C270" s="72"/>
      <c r="D270" s="73"/>
      <c r="F270" s="72"/>
      <c r="G270" s="76"/>
      <c r="H270" s="76"/>
      <c r="I270" s="76"/>
      <c r="J270" s="73"/>
    </row>
    <row r="271" spans="3:10">
      <c r="C271" s="72"/>
      <c r="D271" s="73"/>
      <c r="F271" s="72"/>
      <c r="G271" s="76"/>
      <c r="H271" s="76"/>
      <c r="I271" s="76"/>
      <c r="J271" s="73"/>
    </row>
    <row r="272" spans="3:10">
      <c r="C272" s="72"/>
      <c r="D272" s="73"/>
      <c r="F272" s="72"/>
      <c r="G272" s="76"/>
      <c r="H272" s="76"/>
      <c r="I272" s="76"/>
      <c r="J272" s="73"/>
    </row>
    <row r="273" spans="3:10">
      <c r="C273" s="72"/>
      <c r="D273" s="73"/>
      <c r="F273" s="72"/>
      <c r="G273" s="76"/>
      <c r="H273" s="76"/>
      <c r="I273" s="76"/>
      <c r="J273" s="73"/>
    </row>
    <row r="274" spans="3:10">
      <c r="C274" s="72"/>
      <c r="D274" s="73"/>
      <c r="F274" s="72"/>
      <c r="G274" s="76"/>
      <c r="H274" s="76"/>
      <c r="I274" s="76"/>
      <c r="J274" s="73"/>
    </row>
    <row r="275" spans="3:10">
      <c r="C275" s="72"/>
      <c r="D275" s="73"/>
      <c r="F275" s="72"/>
      <c r="G275" s="76"/>
      <c r="H275" s="76"/>
      <c r="I275" s="76"/>
      <c r="J275" s="73"/>
    </row>
    <row r="276" spans="3:10">
      <c r="C276" s="72"/>
      <c r="D276" s="73"/>
      <c r="F276" s="72"/>
      <c r="G276" s="76"/>
      <c r="H276" s="76"/>
      <c r="I276" s="76"/>
      <c r="J276" s="73"/>
    </row>
    <row r="277" spans="3:10">
      <c r="C277" s="72"/>
      <c r="D277" s="73"/>
      <c r="F277" s="72"/>
      <c r="G277" s="76"/>
      <c r="H277" s="76"/>
      <c r="I277" s="76"/>
      <c r="J277" s="73"/>
    </row>
    <row r="278" spans="3:10">
      <c r="C278" s="72"/>
      <c r="D278" s="73"/>
      <c r="F278" s="72"/>
      <c r="G278" s="76"/>
      <c r="H278" s="76"/>
      <c r="I278" s="76"/>
      <c r="J278" s="73"/>
    </row>
    <row r="279" spans="3:10">
      <c r="C279" s="72"/>
      <c r="D279" s="73"/>
      <c r="F279" s="72"/>
      <c r="G279" s="76"/>
      <c r="H279" s="76"/>
      <c r="I279" s="76"/>
      <c r="J279" s="73"/>
    </row>
    <row r="280" spans="3:10">
      <c r="C280" s="72"/>
      <c r="D280" s="73"/>
      <c r="F280" s="72"/>
      <c r="G280" s="76"/>
      <c r="H280" s="76"/>
      <c r="I280" s="76"/>
      <c r="J280" s="73"/>
    </row>
    <row r="281" spans="3:10">
      <c r="C281" s="72"/>
      <c r="D281" s="73"/>
      <c r="F281" s="72"/>
      <c r="G281" s="76"/>
      <c r="H281" s="76"/>
      <c r="I281" s="76"/>
      <c r="J281" s="73"/>
    </row>
    <row r="282" spans="3:10">
      <c r="C282" s="72"/>
      <c r="D282" s="73"/>
      <c r="F282" s="72"/>
      <c r="G282" s="76"/>
      <c r="H282" s="76"/>
      <c r="I282" s="76"/>
      <c r="J282" s="73"/>
    </row>
    <row r="283" spans="3:10">
      <c r="C283" s="72"/>
      <c r="D283" s="73"/>
      <c r="F283" s="72"/>
      <c r="G283" s="76"/>
      <c r="H283" s="76"/>
      <c r="I283" s="76"/>
      <c r="J283" s="73"/>
    </row>
    <row r="284" spans="3:10">
      <c r="C284" s="72"/>
      <c r="D284" s="73"/>
      <c r="F284" s="72"/>
      <c r="G284" s="76"/>
      <c r="H284" s="76"/>
      <c r="I284" s="76"/>
      <c r="J284" s="73"/>
    </row>
    <row r="285" spans="3:10">
      <c r="C285" s="72"/>
      <c r="D285" s="73"/>
      <c r="F285" s="72"/>
      <c r="G285" s="76"/>
      <c r="H285" s="76"/>
      <c r="I285" s="76"/>
      <c r="J285" s="73"/>
    </row>
    <row r="286" spans="3:10">
      <c r="C286" s="72"/>
      <c r="D286" s="73"/>
      <c r="F286" s="72"/>
      <c r="G286" s="76"/>
      <c r="H286" s="76"/>
      <c r="I286" s="76"/>
      <c r="J286" s="73"/>
    </row>
    <row r="287" spans="3:10">
      <c r="C287" s="72"/>
      <c r="D287" s="73"/>
      <c r="F287" s="72"/>
      <c r="G287" s="76"/>
      <c r="H287" s="76"/>
      <c r="I287" s="76"/>
      <c r="J287" s="73"/>
    </row>
    <row r="288" spans="3:10">
      <c r="C288" s="72"/>
      <c r="D288" s="73"/>
      <c r="F288" s="72"/>
      <c r="G288" s="76"/>
      <c r="H288" s="76"/>
      <c r="I288" s="76"/>
      <c r="J288" s="73"/>
    </row>
    <row r="289" spans="3:10">
      <c r="C289" s="72"/>
      <c r="D289" s="73"/>
      <c r="F289" s="72"/>
      <c r="G289" s="76"/>
      <c r="H289" s="76"/>
      <c r="I289" s="76"/>
      <c r="J289" s="73"/>
    </row>
    <row r="290" spans="3:10">
      <c r="C290" s="72"/>
      <c r="D290" s="73"/>
      <c r="F290" s="72"/>
      <c r="G290" s="76"/>
      <c r="H290" s="76"/>
      <c r="I290" s="76"/>
      <c r="J290" s="73"/>
    </row>
    <row r="291" spans="3:10">
      <c r="C291" s="72"/>
      <c r="D291" s="73"/>
      <c r="F291" s="72"/>
      <c r="G291" s="76"/>
      <c r="H291" s="76"/>
      <c r="I291" s="76"/>
      <c r="J291" s="73"/>
    </row>
    <row r="292" spans="3:10">
      <c r="C292" s="72"/>
      <c r="D292" s="73"/>
      <c r="F292" s="72"/>
      <c r="G292" s="76"/>
      <c r="H292" s="76"/>
      <c r="I292" s="76"/>
      <c r="J292" s="73"/>
    </row>
    <row r="293" spans="3:10">
      <c r="C293" s="72"/>
      <c r="D293" s="73"/>
      <c r="F293" s="72"/>
      <c r="G293" s="76"/>
      <c r="H293" s="76"/>
      <c r="I293" s="76"/>
      <c r="J293" s="73"/>
    </row>
    <row r="294" spans="3:10">
      <c r="C294" s="72"/>
      <c r="D294" s="73"/>
      <c r="F294" s="72"/>
      <c r="G294" s="76"/>
      <c r="H294" s="76"/>
      <c r="I294" s="76"/>
      <c r="J294" s="73"/>
    </row>
    <row r="295" spans="3:10">
      <c r="C295" s="72"/>
      <c r="D295" s="73"/>
      <c r="F295" s="72"/>
      <c r="G295" s="76"/>
      <c r="H295" s="76"/>
      <c r="I295" s="76"/>
      <c r="J295" s="73"/>
    </row>
    <row r="296" spans="3:10">
      <c r="C296" s="72"/>
      <c r="D296" s="73"/>
      <c r="F296" s="72"/>
      <c r="G296" s="76"/>
      <c r="H296" s="76"/>
      <c r="I296" s="76"/>
      <c r="J296" s="73"/>
    </row>
    <row r="297" spans="3:10">
      <c r="C297" s="72"/>
      <c r="D297" s="73"/>
      <c r="F297" s="72"/>
      <c r="G297" s="76"/>
      <c r="H297" s="76"/>
      <c r="I297" s="76"/>
      <c r="J297" s="73"/>
    </row>
    <row r="298" spans="3:10">
      <c r="C298" s="72"/>
      <c r="D298" s="73"/>
      <c r="F298" s="72"/>
      <c r="G298" s="76"/>
      <c r="H298" s="76"/>
      <c r="I298" s="76"/>
      <c r="J298" s="73"/>
    </row>
    <row r="299" spans="3:10">
      <c r="C299" s="72"/>
      <c r="D299" s="73"/>
      <c r="F299" s="72"/>
      <c r="G299" s="76"/>
      <c r="H299" s="76"/>
      <c r="I299" s="76"/>
      <c r="J299" s="73"/>
    </row>
    <row r="300" spans="3:10" ht="15.75" thickBot="1">
      <c r="C300" s="72"/>
      <c r="D300" s="73"/>
      <c r="F300" s="74"/>
      <c r="G300" s="77"/>
      <c r="H300" s="77"/>
      <c r="I300" s="77"/>
      <c r="J300" s="75"/>
    </row>
    <row r="301" spans="3:10">
      <c r="C301" s="72"/>
      <c r="D301" s="73"/>
    </row>
    <row r="302" spans="3:10">
      <c r="C302" s="72"/>
      <c r="D302" s="73"/>
    </row>
    <row r="303" spans="3:10">
      <c r="C303" s="72"/>
      <c r="D303" s="73"/>
    </row>
    <row r="304" spans="3:10">
      <c r="C304" s="72"/>
      <c r="D304" s="73"/>
    </row>
    <row r="305" spans="3:4">
      <c r="C305" s="72"/>
      <c r="D305" s="73"/>
    </row>
    <row r="306" spans="3:4">
      <c r="C306" s="72"/>
      <c r="D306" s="73"/>
    </row>
    <row r="307" spans="3:4">
      <c r="C307" s="72"/>
      <c r="D307" s="83"/>
    </row>
    <row r="308" spans="3:4">
      <c r="C308" s="72"/>
      <c r="D308" s="73"/>
    </row>
    <row r="309" spans="3:4">
      <c r="C309" s="72"/>
      <c r="D309" s="73"/>
    </row>
    <row r="310" spans="3:4">
      <c r="C310" s="72"/>
      <c r="D310" s="73"/>
    </row>
    <row r="311" spans="3:4">
      <c r="C311" s="72"/>
      <c r="D311" s="73"/>
    </row>
    <row r="312" spans="3:4">
      <c r="C312" s="72"/>
      <c r="D312" s="73"/>
    </row>
    <row r="313" spans="3:4">
      <c r="C313" s="72"/>
      <c r="D313" s="73"/>
    </row>
    <row r="314" spans="3:4">
      <c r="C314" s="72"/>
      <c r="D314" s="73"/>
    </row>
    <row r="315" spans="3:4">
      <c r="C315" s="72"/>
      <c r="D315" s="73"/>
    </row>
    <row r="316" spans="3:4">
      <c r="C316" s="72"/>
      <c r="D316" s="73"/>
    </row>
    <row r="317" spans="3:4">
      <c r="C317" s="72"/>
      <c r="D317" s="73"/>
    </row>
    <row r="318" spans="3:4">
      <c r="C318" s="72"/>
      <c r="D318" s="73"/>
    </row>
    <row r="319" spans="3:4">
      <c r="C319" s="72"/>
      <c r="D319" s="73"/>
    </row>
    <row r="320" spans="3:4">
      <c r="C320" s="72"/>
      <c r="D320" s="73"/>
    </row>
    <row r="321" spans="3:4">
      <c r="C321" s="72"/>
      <c r="D321" s="73"/>
    </row>
    <row r="322" spans="3:4">
      <c r="C322" s="72"/>
      <c r="D322" s="73"/>
    </row>
    <row r="323" spans="3:4">
      <c r="C323" s="72"/>
      <c r="D323" s="73"/>
    </row>
    <row r="324" spans="3:4">
      <c r="C324" s="72"/>
      <c r="D324" s="73"/>
    </row>
    <row r="325" spans="3:4">
      <c r="C325" s="72"/>
      <c r="D325" s="73"/>
    </row>
    <row r="326" spans="3:4">
      <c r="C326" s="72"/>
      <c r="D326" s="73"/>
    </row>
    <row r="327" spans="3:4">
      <c r="C327" s="72"/>
      <c r="D327" s="73"/>
    </row>
    <row r="328" spans="3:4">
      <c r="C328" s="72"/>
      <c r="D328" s="73"/>
    </row>
    <row r="329" spans="3:4">
      <c r="C329" s="72"/>
      <c r="D329" s="73"/>
    </row>
    <row r="330" spans="3:4">
      <c r="C330" s="72"/>
      <c r="D330" s="73"/>
    </row>
    <row r="331" spans="3:4">
      <c r="C331" s="72"/>
      <c r="D331" s="73"/>
    </row>
    <row r="332" spans="3:4" ht="15.75" thickBot="1">
      <c r="C332" s="74"/>
      <c r="D332" s="75"/>
    </row>
  </sheetData>
  <mergeCells count="3">
    <mergeCell ref="C1:H1"/>
    <mergeCell ref="C217:D217"/>
    <mergeCell ref="F217:J217"/>
  </mergeCells>
  <dataValidations count="5">
    <dataValidation type="custom" allowBlank="1" showInputMessage="1" showErrorMessage="1" sqref="E215 E197:E198 E206:E207 E139:E140 E123:E124 E97:E98 E105:E106 E82:E83 E74:E75 E67:E68 E55:E56 E27:E28 E3:E4 E36:E37 E49:E50 E89:E90 E133:E134 E149:E150 E17:E18 E162:E163 E177:E178 E185:E186">
      <formula1>"Referencia,Servicios"</formula1>
    </dataValidation>
    <dataValidation type="list" allowBlank="1" showInputMessage="1" showErrorMessage="1" sqref="E164:E176 E208:E214 E199:E205 E19:E26 E125:E132 E107:E122 E76:E81 E99:E104 E84:E88 E69:E73 E38:E48 E51:E54 E5:E16 E29:E35 E57:E66 E91:E96 E135:E138 E141:E148 E151:E161 E187:E196 E179:E184">
      <formula1>"Servicios,Referencia"</formula1>
    </dataValidation>
    <dataValidation type="list" allowBlank="1" showInputMessage="1" showErrorMessage="1" sqref="F164:F176 F208:F214 F199:F205 F151:F161 F107:F122 F38:F48 F99:F104 F76:F81 F84:F88 F69:F73 F19:F26 F51:F54 F5:F16 F29:F35 F57:F66 F91:F96 F141:F148 F135:F138 F179:F184 F187:F196 F125:F132">
      <formula1>Clase</formula1>
    </dataValidation>
    <dataValidation type="list" allowBlank="1" showInputMessage="1" showErrorMessage="1" sqref="D199:D205 D208:D214 D141:D148 D107:D122 D135:D138 D99:D104 D57:D66 D84:D88 D69:D73 D38:D48 D51:D54 D29:D35 D5:D16 D76:D81 D91:D96 D125:D132 D19:D26 D151:D161 D179:D184 D187:D196 D164:D176">
      <formula1>Estaciones</formula1>
    </dataValidation>
    <dataValidation type="list" allowBlank="1" showInputMessage="1" showErrorMessage="1" sqref="C199:C205 C208:C214 C19:C26 C135:C138 C125:C132 C107:C122 C84:C88 C76:C81 C57:C66 C69:C73 C38:C48 C51:C54 C29:C35 C5:C16 C91:C96 C99:C104 C141:C148 C151:C161 C179:C184 C187:C196 C164:C176">
      <formula1>Grupo</formula1>
    </dataValidation>
  </dataValidations>
  <hyperlinks>
    <hyperlink ref="I20" r:id="rId1" display="http://toolserver.org/~geohack/geohack.php?pagename=Deportivo_18_de_marzo_(estaci%C3%B3n)&amp;language=es&amp;params=19.483747_N_99.126549_W_region:MX_type:railwaystation"/>
    <hyperlink ref="I30" r:id="rId2" display="http://toolserver.org/~geohack/geohack.php?pagename=Potrero_(estaci%C3%B3n)&amp;language=es&amp;params=19.47691_N_99.132171_W_"/>
    <hyperlink ref="I39" r:id="rId3" display="http://toolserver.org/~geohack/geohack.php?pagename=La_Raza_(estaci%C3%B3n)&amp;language=es&amp;params=19.470153_N_99.136891_W_region:MX_type:railwaystation"/>
    <hyperlink ref="I52" r:id="rId4" display="http://toolserver.org/~geohack/geohack.php?pagename=Tlatelolco_(estaci%C3%B3n)&amp;language=es&amp;params=19.454979_N_99.142814_W_"/>
    <hyperlink ref="I58" r:id="rId5" display="http://toolserver.org/~geohack/geohack.php?pagename=Guerrero_(estaci%C3%B3n)&amp;language=es&amp;params=19.445146_N_99.145389_W_region:MX_type:railwaystation"/>
    <hyperlink ref="I77" r:id="rId6" display="http://toolserver.org/~geohack/geohack.php?pagename=Ju%C3%A1rez_(estaci%C3%B3n)&amp;language=es&amp;params=19.433167_N_99.147792_W_"/>
    <hyperlink ref="I92" r:id="rId7" display="http://toolserver.org/~geohack/geohack.php?pagename=Ni%C3%B1os_H%C3%A9roes_(estaci%C3%B3n)&amp;language=es&amp;params=19.419508_N_99.150581_W_"/>
    <hyperlink ref="I100" r:id="rId8" display="http://toolserver.org/~geohack/geohack.php?pagename=Hospital_General_(estaci%C3%B3n)&amp;language=es&amp;params=19.413578_N_99.153886_W_"/>
    <hyperlink ref="I108" r:id="rId9" display="http://toolserver.org/~geohack/geohack.php?pagename=Centro_M%C3%A9dico_(estaci%C3%B3n)&amp;language=es&amp;params=19.406637_N_99.155753_W_region:MX_type:railwaystation"/>
    <hyperlink ref="I126" r:id="rId10" display="http://toolserver.org/~geohack/geohack.php?pagename=Etiop%C3%ADa-Plaza_de_la_transparencia_(estaci%C3%B3n)&amp;language=es&amp;params=19.395586_N_99.156268_W_"/>
    <hyperlink ref="I142" r:id="rId11" display="http://toolserver.org/~geohack/geohack.php?pagename=Divisi%C3%B3n_del_Norte_(estaci%C3%B3n)&amp;language=es&amp;params=19.380021_N_99.158885_W_"/>
    <hyperlink ref="I152" r:id="rId12" display="http://toolserver.org/~geohack/geohack.php?pagename=Zapata_(estaci%C3%B3n)&amp;language=es&amp;params=19.370952_N_99.164937_W_region:MX_type:railwaystation"/>
    <hyperlink ref="I165" r:id="rId13" display="http://toolserver.org/~geohack/geohack.php?pagename=Coyoac%C3%A1n_(estaci%C3%B3n)&amp;language=es&amp;params=19.361417_N_99.170709_W_"/>
    <hyperlink ref="I180" r:id="rId14" display="http://toolserver.org/~geohack/geohack.php?pagename=Viveros-Derechos_humanos_(estaci%C3%B3n)&amp;language=es&amp;params=19.353724_N_99.176052_W_"/>
    <hyperlink ref="I188" r:id="rId15" display="http://toolserver.org/~geohack/geohack.php?pagename=Miguel_%C3%81ngel_de_Quevedo_(estaci%C3%B3n)&amp;language=es&amp;params=19.346395_N_99.18103_W_"/>
    <hyperlink ref="I200" r:id="rId16" display="http://toolserver.org/~geohack/geohack.php?pagename=Copilco_(estaci%C3%B3n)&amp;language=es&amp;params=19.335887_N_99.176652_W_"/>
    <hyperlink ref="I209" r:id="rId17" display="http://toolserver.org/~geohack/geohack.php?pagename=Universidad_(estaci%C3%B3n_Metro_de_Ciudad_de_M%C3%A9xico)&amp;language=es&amp;params=19.324427_N_99.17397_W_"/>
  </hyperlinks>
  <pageMargins left="0.7" right="0.7" top="0.75" bottom="0.75" header="0.3" footer="0.3"/>
  <legacyDrawing r:id="rId18"/>
</worksheet>
</file>

<file path=xl/worksheets/sheet14.xml><?xml version="1.0" encoding="utf-8"?>
<worksheet xmlns="http://schemas.openxmlformats.org/spreadsheetml/2006/main" xmlns:r="http://schemas.openxmlformats.org/officeDocument/2006/relationships">
  <sheetPr codeName="Hoja18"/>
  <dimension ref="B1:K200"/>
  <sheetViews>
    <sheetView topLeftCell="A58" workbookViewId="0">
      <selection activeCell="E17" sqref="E17"/>
    </sheetView>
  </sheetViews>
  <sheetFormatPr baseColWidth="10" defaultRowHeight="15"/>
  <cols>
    <col min="1" max="1" width="3" customWidth="1"/>
    <col min="2" max="2" width="4.42578125" bestFit="1" customWidth="1"/>
    <col min="3" max="3" width="20"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79</v>
      </c>
      <c r="C3" s="33" t="s">
        <v>2</v>
      </c>
      <c r="D3" s="34" t="s">
        <v>1</v>
      </c>
      <c r="E3" s="34" t="s">
        <v>862</v>
      </c>
      <c r="F3" s="34" t="s">
        <v>863</v>
      </c>
      <c r="G3" s="34" t="s">
        <v>864</v>
      </c>
      <c r="H3" s="35" t="s">
        <v>358</v>
      </c>
    </row>
    <row r="4" spans="2:9" s="25" customFormat="1" ht="9" customHeight="1" thickBot="1">
      <c r="B4" s="46"/>
      <c r="C4" s="37"/>
      <c r="D4" s="37"/>
      <c r="E4" s="37"/>
      <c r="F4" s="37"/>
      <c r="G4" s="38"/>
      <c r="H4" s="39"/>
    </row>
    <row r="5" spans="2:9" s="25" customFormat="1" ht="16.5" thickBot="1">
      <c r="B5" s="40">
        <v>1</v>
      </c>
      <c r="C5" s="27" t="s">
        <v>2639</v>
      </c>
      <c r="D5" s="29" t="s">
        <v>172</v>
      </c>
      <c r="E5" s="27" t="s">
        <v>865</v>
      </c>
      <c r="F5" s="27" t="s">
        <v>866</v>
      </c>
      <c r="G5" s="26"/>
      <c r="H5" s="87" t="s">
        <v>2645</v>
      </c>
    </row>
    <row r="6" spans="2:9" s="25" customFormat="1" ht="16.5" thickBot="1">
      <c r="B6" s="40">
        <f t="shared" ref="B6:B69" si="0">B5+1</f>
        <v>2</v>
      </c>
      <c r="C6" s="27" t="s">
        <v>2639</v>
      </c>
      <c r="D6" s="29" t="s">
        <v>172</v>
      </c>
      <c r="E6" s="27" t="s">
        <v>865</v>
      </c>
      <c r="F6" s="27" t="s">
        <v>1728</v>
      </c>
      <c r="G6" s="26"/>
      <c r="H6" s="88" t="s">
        <v>3901</v>
      </c>
      <c r="I6" s="50" t="s">
        <v>2644</v>
      </c>
    </row>
    <row r="7" spans="2:9" s="25" customFormat="1" ht="16.5" thickBot="1">
      <c r="B7" s="40">
        <f t="shared" si="0"/>
        <v>3</v>
      </c>
      <c r="C7" s="27" t="s">
        <v>2639</v>
      </c>
      <c r="D7" s="29" t="s">
        <v>172</v>
      </c>
      <c r="E7" s="27" t="s">
        <v>865</v>
      </c>
      <c r="F7" s="27" t="s">
        <v>1333</v>
      </c>
      <c r="G7" s="27" t="s">
        <v>2647</v>
      </c>
      <c r="H7" s="88" t="s">
        <v>2646</v>
      </c>
    </row>
    <row r="8" spans="2:9" s="25" customFormat="1" ht="16.5" thickBot="1">
      <c r="B8" s="40">
        <f t="shared" si="0"/>
        <v>4</v>
      </c>
      <c r="C8" s="27" t="s">
        <v>2639</v>
      </c>
      <c r="D8" s="29" t="s">
        <v>172</v>
      </c>
      <c r="E8" s="27" t="s">
        <v>865</v>
      </c>
      <c r="F8" s="27" t="s">
        <v>1333</v>
      </c>
      <c r="G8" s="27" t="s">
        <v>2649</v>
      </c>
      <c r="H8" s="88" t="s">
        <v>2648</v>
      </c>
    </row>
    <row r="9" spans="2:9" s="25" customFormat="1" ht="16.5" thickBot="1">
      <c r="B9" s="40">
        <f t="shared" si="0"/>
        <v>5</v>
      </c>
      <c r="C9" s="27" t="s">
        <v>2639</v>
      </c>
      <c r="D9" s="29" t="s">
        <v>172</v>
      </c>
      <c r="E9" s="27" t="s">
        <v>865</v>
      </c>
      <c r="F9" s="27" t="s">
        <v>1333</v>
      </c>
      <c r="G9" s="27" t="s">
        <v>2651</v>
      </c>
      <c r="H9" s="88" t="s">
        <v>2650</v>
      </c>
    </row>
    <row r="10" spans="2:9" s="25" customFormat="1" ht="16.5" thickBot="1">
      <c r="B10" s="40">
        <f t="shared" si="0"/>
        <v>6</v>
      </c>
      <c r="C10" s="27" t="s">
        <v>2639</v>
      </c>
      <c r="D10" s="29" t="s">
        <v>172</v>
      </c>
      <c r="E10" s="27" t="s">
        <v>865</v>
      </c>
      <c r="F10" s="27" t="s">
        <v>1333</v>
      </c>
      <c r="G10" s="27" t="s">
        <v>2653</v>
      </c>
      <c r="H10" s="88" t="s">
        <v>2652</v>
      </c>
    </row>
    <row r="11" spans="2:9" s="25" customFormat="1" ht="16.5" thickBot="1">
      <c r="B11" s="40">
        <f t="shared" si="0"/>
        <v>7</v>
      </c>
      <c r="C11" s="27" t="s">
        <v>2639</v>
      </c>
      <c r="D11" s="29" t="s">
        <v>172</v>
      </c>
      <c r="E11" s="27" t="s">
        <v>865</v>
      </c>
      <c r="F11" s="27" t="s">
        <v>1333</v>
      </c>
      <c r="G11" s="27" t="s">
        <v>2655</v>
      </c>
      <c r="H11" s="88" t="s">
        <v>2654</v>
      </c>
    </row>
    <row r="12" spans="2:9" s="25" customFormat="1" ht="32.25" thickBot="1">
      <c r="B12" s="40">
        <f t="shared" si="0"/>
        <v>8</v>
      </c>
      <c r="C12" s="27" t="s">
        <v>2639</v>
      </c>
      <c r="D12" s="29" t="s">
        <v>172</v>
      </c>
      <c r="E12" s="27" t="s">
        <v>865</v>
      </c>
      <c r="F12" s="27"/>
      <c r="G12" s="27" t="s">
        <v>3551</v>
      </c>
      <c r="H12" s="90" t="s">
        <v>3553</v>
      </c>
    </row>
    <row r="13" spans="2:9" s="25" customFormat="1" ht="16.5" thickBot="1">
      <c r="B13" s="40">
        <f t="shared" si="0"/>
        <v>9</v>
      </c>
      <c r="C13" s="27" t="s">
        <v>2639</v>
      </c>
      <c r="D13" s="29" t="s">
        <v>172</v>
      </c>
      <c r="E13" s="27" t="s">
        <v>865</v>
      </c>
      <c r="F13" s="27"/>
      <c r="G13" s="49" t="s">
        <v>2656</v>
      </c>
      <c r="H13" s="95" t="s">
        <v>3552</v>
      </c>
    </row>
    <row r="14" spans="2:9" s="25" customFormat="1" ht="9" customHeight="1" thickBot="1">
      <c r="B14" s="56">
        <f t="shared" si="0"/>
        <v>10</v>
      </c>
      <c r="C14" s="54"/>
      <c r="D14" s="54"/>
      <c r="E14" s="54"/>
      <c r="F14" s="54"/>
      <c r="G14" s="54"/>
      <c r="H14" s="91"/>
    </row>
    <row r="15" spans="2:9" s="25" customFormat="1" ht="9" customHeight="1" thickBot="1">
      <c r="B15" s="23">
        <f t="shared" si="0"/>
        <v>11</v>
      </c>
      <c r="C15" s="37"/>
      <c r="D15" s="37"/>
      <c r="E15" s="37"/>
      <c r="F15" s="37"/>
      <c r="G15" s="38"/>
      <c r="H15" s="96"/>
    </row>
    <row r="16" spans="2:9" s="25" customFormat="1" ht="16.5" thickBot="1">
      <c r="B16" s="40">
        <f t="shared" si="0"/>
        <v>12</v>
      </c>
      <c r="C16" s="27" t="s">
        <v>2639</v>
      </c>
      <c r="D16" s="29" t="s">
        <v>250</v>
      </c>
      <c r="E16" s="27" t="s">
        <v>865</v>
      </c>
      <c r="F16" s="27" t="s">
        <v>866</v>
      </c>
      <c r="G16" s="62"/>
      <c r="H16" s="88" t="s">
        <v>2658</v>
      </c>
    </row>
    <row r="17" spans="2:9" s="25" customFormat="1" ht="16.5" thickBot="1">
      <c r="B17" s="40">
        <f t="shared" si="0"/>
        <v>13</v>
      </c>
      <c r="C17" s="27" t="s">
        <v>2639</v>
      </c>
      <c r="D17" s="29" t="s">
        <v>250</v>
      </c>
      <c r="E17" s="27" t="s">
        <v>865</v>
      </c>
      <c r="F17" s="27" t="s">
        <v>1728</v>
      </c>
      <c r="G17" s="26"/>
      <c r="H17" s="88" t="s">
        <v>3902</v>
      </c>
      <c r="I17" s="50" t="s">
        <v>2657</v>
      </c>
    </row>
    <row r="18" spans="2:9" s="25" customFormat="1" ht="16.5" thickBot="1">
      <c r="B18" s="40">
        <f t="shared" si="0"/>
        <v>14</v>
      </c>
      <c r="C18" s="27" t="s">
        <v>2639</v>
      </c>
      <c r="D18" s="29" t="s">
        <v>250</v>
      </c>
      <c r="E18" s="27" t="s">
        <v>865</v>
      </c>
      <c r="F18" s="27" t="s">
        <v>1333</v>
      </c>
      <c r="G18" s="27" t="s">
        <v>949</v>
      </c>
      <c r="H18" s="88" t="s">
        <v>2659</v>
      </c>
    </row>
    <row r="19" spans="2:9" s="25" customFormat="1" ht="16.5" thickBot="1">
      <c r="B19" s="40">
        <f t="shared" si="0"/>
        <v>15</v>
      </c>
      <c r="C19" s="27" t="s">
        <v>2639</v>
      </c>
      <c r="D19" s="29" t="s">
        <v>250</v>
      </c>
      <c r="E19" s="27" t="s">
        <v>865</v>
      </c>
      <c r="F19" s="27" t="s">
        <v>1333</v>
      </c>
      <c r="G19" s="27" t="s">
        <v>951</v>
      </c>
      <c r="H19" s="88" t="s">
        <v>2660</v>
      </c>
    </row>
    <row r="20" spans="2:9" s="25" customFormat="1" ht="9" customHeight="1" thickBot="1">
      <c r="B20" s="23">
        <f t="shared" si="0"/>
        <v>16</v>
      </c>
      <c r="C20" s="57"/>
      <c r="D20" s="57"/>
      <c r="E20" s="57"/>
      <c r="F20" s="57"/>
      <c r="G20" s="57"/>
      <c r="H20" s="94"/>
    </row>
    <row r="21" spans="2:9" s="25" customFormat="1" ht="9" customHeight="1" thickBot="1">
      <c r="B21" s="23">
        <f t="shared" si="0"/>
        <v>17</v>
      </c>
      <c r="C21" s="37"/>
      <c r="D21" s="37"/>
      <c r="E21" s="37"/>
      <c r="F21" s="37"/>
      <c r="G21" s="38"/>
      <c r="H21" s="94"/>
    </row>
    <row r="22" spans="2:9" s="25" customFormat="1" ht="16.5" thickBot="1">
      <c r="B22" s="40">
        <f t="shared" si="0"/>
        <v>18</v>
      </c>
      <c r="C22" s="27" t="s">
        <v>2639</v>
      </c>
      <c r="D22" s="29" t="s">
        <v>251</v>
      </c>
      <c r="E22" s="27" t="s">
        <v>865</v>
      </c>
      <c r="F22" s="27" t="s">
        <v>866</v>
      </c>
      <c r="G22" s="26"/>
      <c r="H22" s="88" t="s">
        <v>2662</v>
      </c>
    </row>
    <row r="23" spans="2:9" s="25" customFormat="1" ht="16.5" thickBot="1">
      <c r="B23" s="40">
        <f t="shared" si="0"/>
        <v>19</v>
      </c>
      <c r="C23" s="27" t="s">
        <v>2639</v>
      </c>
      <c r="D23" s="29" t="s">
        <v>251</v>
      </c>
      <c r="E23" s="27" t="s">
        <v>865</v>
      </c>
      <c r="F23" s="27" t="s">
        <v>1728</v>
      </c>
      <c r="G23" s="26"/>
      <c r="H23" s="88" t="s">
        <v>3903</v>
      </c>
      <c r="I23" s="50" t="s">
        <v>2661</v>
      </c>
    </row>
    <row r="24" spans="2:9" s="25" customFormat="1" ht="16.5" thickBot="1">
      <c r="B24" s="40">
        <f t="shared" si="0"/>
        <v>20</v>
      </c>
      <c r="C24" s="27" t="s">
        <v>2639</v>
      </c>
      <c r="D24" s="29" t="s">
        <v>251</v>
      </c>
      <c r="E24" s="27" t="s">
        <v>865</v>
      </c>
      <c r="F24" s="27" t="s">
        <v>1333</v>
      </c>
      <c r="G24" s="27" t="s">
        <v>949</v>
      </c>
      <c r="H24" s="88" t="s">
        <v>3904</v>
      </c>
    </row>
    <row r="25" spans="2:9" s="25" customFormat="1" ht="16.5" thickBot="1">
      <c r="B25" s="40">
        <f t="shared" si="0"/>
        <v>21</v>
      </c>
      <c r="C25" s="27" t="s">
        <v>2639</v>
      </c>
      <c r="D25" s="29" t="s">
        <v>251</v>
      </c>
      <c r="E25" s="27" t="s">
        <v>865</v>
      </c>
      <c r="F25" s="27" t="s">
        <v>1333</v>
      </c>
      <c r="G25" s="27" t="s">
        <v>951</v>
      </c>
      <c r="H25" s="88" t="s">
        <v>2663</v>
      </c>
    </row>
    <row r="26" spans="2:9" s="25" customFormat="1" ht="16.5" thickBot="1">
      <c r="B26" s="40">
        <f t="shared" si="0"/>
        <v>22</v>
      </c>
      <c r="C26" s="27" t="s">
        <v>2639</v>
      </c>
      <c r="D26" s="29" t="s">
        <v>251</v>
      </c>
      <c r="E26" s="27" t="s">
        <v>865</v>
      </c>
      <c r="F26" s="27"/>
      <c r="G26" s="27" t="s">
        <v>3550</v>
      </c>
      <c r="H26" s="88" t="s">
        <v>3905</v>
      </c>
    </row>
    <row r="27" spans="2:9" s="25" customFormat="1" ht="9" customHeight="1" thickBot="1">
      <c r="B27" s="23">
        <f t="shared" si="0"/>
        <v>23</v>
      </c>
      <c r="C27" s="43"/>
      <c r="D27" s="43"/>
      <c r="E27" s="43"/>
      <c r="F27" s="43"/>
      <c r="G27" s="43"/>
      <c r="H27" s="94"/>
    </row>
    <row r="28" spans="2:9" s="25" customFormat="1" ht="9" customHeight="1" thickBot="1">
      <c r="B28" s="23">
        <f t="shared" si="0"/>
        <v>24</v>
      </c>
      <c r="C28" s="37"/>
      <c r="D28" s="37"/>
      <c r="E28" s="37"/>
      <c r="F28" s="37"/>
      <c r="G28" s="38"/>
      <c r="H28" s="94"/>
    </row>
    <row r="29" spans="2:9" s="25" customFormat="1" ht="16.5" thickBot="1">
      <c r="B29" s="40">
        <f t="shared" si="0"/>
        <v>25</v>
      </c>
      <c r="C29" s="27" t="s">
        <v>2639</v>
      </c>
      <c r="D29" s="29" t="s">
        <v>252</v>
      </c>
      <c r="E29" s="27" t="s">
        <v>865</v>
      </c>
      <c r="F29" s="27" t="s">
        <v>866</v>
      </c>
      <c r="G29" s="26"/>
      <c r="H29" s="88" t="s">
        <v>3906</v>
      </c>
    </row>
    <row r="30" spans="2:9" s="25" customFormat="1" ht="32.25" thickBot="1">
      <c r="B30" s="40">
        <f t="shared" si="0"/>
        <v>26</v>
      </c>
      <c r="C30" s="27" t="s">
        <v>2639</v>
      </c>
      <c r="D30" s="29" t="s">
        <v>252</v>
      </c>
      <c r="E30" s="27" t="s">
        <v>865</v>
      </c>
      <c r="F30" s="27" t="s">
        <v>1728</v>
      </c>
      <c r="G30" s="26"/>
      <c r="H30" s="89" t="s">
        <v>3907</v>
      </c>
      <c r="I30" s="50" t="s">
        <v>2664</v>
      </c>
    </row>
    <row r="31" spans="2:9" s="25" customFormat="1" ht="16.5" thickBot="1">
      <c r="B31" s="40">
        <f t="shared" si="0"/>
        <v>27</v>
      </c>
      <c r="C31" s="27" t="s">
        <v>2639</v>
      </c>
      <c r="D31" s="29" t="s">
        <v>252</v>
      </c>
      <c r="E31" s="27" t="s">
        <v>865</v>
      </c>
      <c r="F31" s="27" t="s">
        <v>1333</v>
      </c>
      <c r="G31" s="27" t="s">
        <v>1017</v>
      </c>
      <c r="H31" s="89" t="s">
        <v>2665</v>
      </c>
    </row>
    <row r="32" spans="2:9" s="25" customFormat="1" ht="16.5" thickBot="1">
      <c r="B32" s="40">
        <f t="shared" si="0"/>
        <v>28</v>
      </c>
      <c r="C32" s="27" t="s">
        <v>2639</v>
      </c>
      <c r="D32" s="29" t="s">
        <v>252</v>
      </c>
      <c r="E32" s="27" t="s">
        <v>865</v>
      </c>
      <c r="F32" s="27" t="s">
        <v>1333</v>
      </c>
      <c r="G32" s="27" t="s">
        <v>1019</v>
      </c>
      <c r="H32" s="89" t="s">
        <v>2666</v>
      </c>
    </row>
    <row r="33" spans="2:9" s="25" customFormat="1" ht="16.5" thickBot="1">
      <c r="B33" s="40">
        <f t="shared" si="0"/>
        <v>29</v>
      </c>
      <c r="C33" s="27" t="s">
        <v>2639</v>
      </c>
      <c r="D33" s="29" t="s">
        <v>252</v>
      </c>
      <c r="E33" s="27" t="s">
        <v>865</v>
      </c>
      <c r="F33" s="27" t="s">
        <v>1333</v>
      </c>
      <c r="G33" s="27" t="s">
        <v>967</v>
      </c>
      <c r="H33" s="89" t="s">
        <v>2667</v>
      </c>
    </row>
    <row r="34" spans="2:9" s="25" customFormat="1" ht="16.5" thickBot="1">
      <c r="B34" s="40">
        <f t="shared" si="0"/>
        <v>30</v>
      </c>
      <c r="C34" s="27" t="s">
        <v>2639</v>
      </c>
      <c r="D34" s="29" t="s">
        <v>252</v>
      </c>
      <c r="E34" s="27" t="s">
        <v>865</v>
      </c>
      <c r="F34" s="27" t="s">
        <v>1333</v>
      </c>
      <c r="G34" s="27" t="s">
        <v>2564</v>
      </c>
      <c r="H34" s="89" t="s">
        <v>2668</v>
      </c>
    </row>
    <row r="35" spans="2:9" s="25" customFormat="1" ht="9" customHeight="1" thickBot="1">
      <c r="B35" s="23">
        <f t="shared" si="0"/>
        <v>31</v>
      </c>
      <c r="C35" s="43"/>
      <c r="D35" s="43"/>
      <c r="E35" s="43"/>
      <c r="F35" s="43"/>
      <c r="G35" s="43"/>
      <c r="H35" s="94"/>
    </row>
    <row r="36" spans="2:9" s="25" customFormat="1" ht="9" customHeight="1" thickBot="1">
      <c r="B36" s="23">
        <f t="shared" si="0"/>
        <v>32</v>
      </c>
      <c r="C36" s="37"/>
      <c r="D36" s="37"/>
      <c r="E36" s="37"/>
      <c r="F36" s="37"/>
      <c r="G36" s="38"/>
      <c r="H36" s="94"/>
    </row>
    <row r="37" spans="2:9" s="25" customFormat="1" ht="16.5" thickBot="1">
      <c r="B37" s="40">
        <f t="shared" si="0"/>
        <v>33</v>
      </c>
      <c r="C37" s="27" t="s">
        <v>2639</v>
      </c>
      <c r="D37" s="29" t="s">
        <v>253</v>
      </c>
      <c r="E37" s="27" t="s">
        <v>865</v>
      </c>
      <c r="F37" s="27" t="s">
        <v>866</v>
      </c>
      <c r="G37" s="26"/>
      <c r="H37" s="88" t="s">
        <v>3908</v>
      </c>
    </row>
    <row r="38" spans="2:9" s="25" customFormat="1" ht="16.5" thickBot="1">
      <c r="B38" s="40">
        <f t="shared" si="0"/>
        <v>34</v>
      </c>
      <c r="C38" s="27" t="s">
        <v>2639</v>
      </c>
      <c r="D38" s="29" t="s">
        <v>253</v>
      </c>
      <c r="E38" s="27" t="s">
        <v>865</v>
      </c>
      <c r="F38" s="27" t="s">
        <v>1728</v>
      </c>
      <c r="G38" s="26"/>
      <c r="H38" s="88" t="s">
        <v>3909</v>
      </c>
      <c r="I38" s="50" t="s">
        <v>2669</v>
      </c>
    </row>
    <row r="39" spans="2:9" s="25" customFormat="1" ht="16.5" thickBot="1">
      <c r="B39" s="40">
        <f t="shared" si="0"/>
        <v>35</v>
      </c>
      <c r="C39" s="27" t="s">
        <v>2639</v>
      </c>
      <c r="D39" s="29" t="s">
        <v>253</v>
      </c>
      <c r="E39" s="27" t="s">
        <v>865</v>
      </c>
      <c r="F39" s="27" t="s">
        <v>1333</v>
      </c>
      <c r="G39" s="27" t="s">
        <v>949</v>
      </c>
      <c r="H39" s="89" t="s">
        <v>2672</v>
      </c>
    </row>
    <row r="40" spans="2:9" s="25" customFormat="1" ht="16.5" thickBot="1">
      <c r="B40" s="40">
        <f t="shared" si="0"/>
        <v>36</v>
      </c>
      <c r="C40" s="27" t="s">
        <v>2639</v>
      </c>
      <c r="D40" s="29" t="s">
        <v>253</v>
      </c>
      <c r="E40" s="27" t="s">
        <v>865</v>
      </c>
      <c r="F40" s="27" t="s">
        <v>1333</v>
      </c>
      <c r="G40" s="27" t="s">
        <v>951</v>
      </c>
      <c r="H40" s="89" t="s">
        <v>2671</v>
      </c>
    </row>
    <row r="41" spans="2:9" s="25" customFormat="1" ht="16.5" thickBot="1">
      <c r="B41" s="40">
        <f t="shared" si="0"/>
        <v>37</v>
      </c>
      <c r="C41" s="27" t="s">
        <v>2639</v>
      </c>
      <c r="D41" s="29" t="s">
        <v>253</v>
      </c>
      <c r="E41" s="27" t="s">
        <v>865</v>
      </c>
      <c r="F41" s="27"/>
      <c r="G41" s="49" t="s">
        <v>2670</v>
      </c>
      <c r="H41" s="90" t="s">
        <v>3554</v>
      </c>
    </row>
    <row r="42" spans="2:9" s="25" customFormat="1" ht="9" customHeight="1" thickBot="1">
      <c r="B42" s="23">
        <f t="shared" si="0"/>
        <v>38</v>
      </c>
      <c r="C42" s="43"/>
      <c r="D42" s="43"/>
      <c r="E42" s="43"/>
      <c r="F42" s="43"/>
      <c r="G42" s="43"/>
      <c r="H42" s="96"/>
    </row>
    <row r="43" spans="2:9" s="25" customFormat="1" ht="9" customHeight="1" thickBot="1">
      <c r="B43" s="23">
        <f t="shared" si="0"/>
        <v>39</v>
      </c>
      <c r="C43" s="37"/>
      <c r="D43" s="37"/>
      <c r="E43" s="37"/>
      <c r="F43" s="37"/>
      <c r="G43" s="38"/>
      <c r="H43" s="94"/>
    </row>
    <row r="44" spans="2:9" s="25" customFormat="1" ht="16.5" thickBot="1">
      <c r="B44" s="40">
        <f t="shared" si="0"/>
        <v>40</v>
      </c>
      <c r="C44" s="27" t="s">
        <v>2639</v>
      </c>
      <c r="D44" s="69" t="s">
        <v>254</v>
      </c>
      <c r="E44" s="27"/>
      <c r="F44" s="27" t="s">
        <v>866</v>
      </c>
      <c r="G44" s="26"/>
      <c r="H44" s="88"/>
    </row>
    <row r="45" spans="2:9" s="25" customFormat="1" ht="16.5" thickBot="1">
      <c r="B45" s="40">
        <f t="shared" si="0"/>
        <v>41</v>
      </c>
      <c r="C45" s="27" t="s">
        <v>2639</v>
      </c>
      <c r="D45" s="69" t="s">
        <v>254</v>
      </c>
      <c r="E45" s="27"/>
      <c r="F45" s="27" t="s">
        <v>1728</v>
      </c>
      <c r="G45" s="26"/>
      <c r="H45" s="88"/>
      <c r="I45" s="50"/>
    </row>
    <row r="46" spans="2:9" s="25" customFormat="1" ht="16.5" thickBot="1">
      <c r="B46" s="40">
        <f t="shared" si="0"/>
        <v>42</v>
      </c>
      <c r="C46" s="27" t="s">
        <v>2639</v>
      </c>
      <c r="D46" s="69" t="s">
        <v>254</v>
      </c>
      <c r="E46" s="27"/>
      <c r="F46" s="27" t="s">
        <v>1333</v>
      </c>
      <c r="G46" s="27"/>
      <c r="H46" s="89"/>
    </row>
    <row r="47" spans="2:9" s="25" customFormat="1" ht="16.5" thickBot="1">
      <c r="B47" s="40">
        <f t="shared" si="0"/>
        <v>43</v>
      </c>
      <c r="C47" s="27" t="s">
        <v>2639</v>
      </c>
      <c r="D47" s="69" t="s">
        <v>254</v>
      </c>
      <c r="E47" s="27"/>
      <c r="F47" s="27" t="s">
        <v>1333</v>
      </c>
      <c r="G47" s="27"/>
      <c r="H47" s="89"/>
    </row>
    <row r="48" spans="2:9" s="25" customFormat="1" ht="16.5" thickBot="1">
      <c r="B48" s="40">
        <f t="shared" si="0"/>
        <v>44</v>
      </c>
      <c r="C48" s="27" t="s">
        <v>2639</v>
      </c>
      <c r="D48" s="69" t="s">
        <v>254</v>
      </c>
      <c r="E48" s="27"/>
      <c r="F48" s="27" t="s">
        <v>1333</v>
      </c>
      <c r="G48" s="27"/>
      <c r="H48" s="89"/>
    </row>
    <row r="49" spans="2:9" s="25" customFormat="1" ht="16.5" thickBot="1">
      <c r="B49" s="40">
        <f t="shared" si="0"/>
        <v>45</v>
      </c>
      <c r="C49" s="27" t="s">
        <v>2639</v>
      </c>
      <c r="D49" s="69" t="s">
        <v>254</v>
      </c>
      <c r="E49" s="27"/>
      <c r="F49" s="27"/>
      <c r="G49" s="27"/>
      <c r="H49" s="89"/>
    </row>
    <row r="50" spans="2:9" s="25" customFormat="1" ht="9" customHeight="1" thickBot="1">
      <c r="B50" s="23">
        <f t="shared" si="0"/>
        <v>46</v>
      </c>
      <c r="C50" s="43"/>
      <c r="D50" s="43"/>
      <c r="E50" s="43"/>
      <c r="F50" s="43"/>
      <c r="G50" s="43"/>
      <c r="H50" s="94"/>
    </row>
    <row r="51" spans="2:9" s="25" customFormat="1" ht="9" customHeight="1" thickBot="1">
      <c r="B51" s="23">
        <f t="shared" si="0"/>
        <v>47</v>
      </c>
      <c r="C51" s="37"/>
      <c r="D51" s="37"/>
      <c r="E51" s="37"/>
      <c r="F51" s="37"/>
      <c r="G51" s="38"/>
      <c r="H51" s="94"/>
    </row>
    <row r="52" spans="2:9" s="25" customFormat="1" ht="16.5" thickBot="1">
      <c r="B52" s="40">
        <f t="shared" si="0"/>
        <v>48</v>
      </c>
      <c r="C52" s="27" t="s">
        <v>2639</v>
      </c>
      <c r="D52" s="69" t="s">
        <v>212</v>
      </c>
      <c r="E52" s="27"/>
      <c r="F52" s="27" t="s">
        <v>866</v>
      </c>
      <c r="G52" s="26"/>
      <c r="H52" s="88"/>
    </row>
    <row r="53" spans="2:9" s="25" customFormat="1" ht="16.5" thickBot="1">
      <c r="B53" s="40">
        <f t="shared" si="0"/>
        <v>49</v>
      </c>
      <c r="C53" s="27" t="s">
        <v>2639</v>
      </c>
      <c r="D53" s="69" t="s">
        <v>212</v>
      </c>
      <c r="E53" s="27"/>
      <c r="F53" s="27" t="s">
        <v>1728</v>
      </c>
      <c r="G53" s="26"/>
      <c r="H53" s="88"/>
      <c r="I53" s="50"/>
    </row>
    <row r="54" spans="2:9" s="25" customFormat="1" ht="16.5" thickBot="1">
      <c r="B54" s="40">
        <f t="shared" si="0"/>
        <v>50</v>
      </c>
      <c r="C54" s="27" t="s">
        <v>2639</v>
      </c>
      <c r="D54" s="69" t="s">
        <v>212</v>
      </c>
      <c r="E54" s="27"/>
      <c r="F54" s="27" t="s">
        <v>1333</v>
      </c>
      <c r="G54" s="27"/>
      <c r="H54" s="89"/>
    </row>
    <row r="55" spans="2:9" s="25" customFormat="1" ht="16.5" thickBot="1">
      <c r="B55" s="40">
        <f t="shared" si="0"/>
        <v>51</v>
      </c>
      <c r="C55" s="27" t="s">
        <v>2639</v>
      </c>
      <c r="D55" s="69" t="s">
        <v>212</v>
      </c>
      <c r="E55" s="27"/>
      <c r="F55" s="27" t="s">
        <v>1333</v>
      </c>
      <c r="G55" s="27"/>
      <c r="H55" s="89"/>
    </row>
    <row r="56" spans="2:9" s="25" customFormat="1" ht="16.5" thickBot="1">
      <c r="B56" s="40">
        <f t="shared" si="0"/>
        <v>52</v>
      </c>
      <c r="C56" s="27" t="s">
        <v>2639</v>
      </c>
      <c r="D56" s="69" t="s">
        <v>212</v>
      </c>
      <c r="E56" s="27"/>
      <c r="F56" s="27" t="s">
        <v>1333</v>
      </c>
      <c r="G56" s="27"/>
      <c r="H56" s="89"/>
    </row>
    <row r="57" spans="2:9" s="25" customFormat="1" ht="9" customHeight="1" thickBot="1">
      <c r="B57" s="23">
        <f t="shared" si="0"/>
        <v>53</v>
      </c>
      <c r="C57" s="43"/>
      <c r="D57" s="43"/>
      <c r="E57" s="43"/>
      <c r="F57" s="43"/>
      <c r="G57" s="43"/>
      <c r="H57" s="94"/>
    </row>
    <row r="58" spans="2:9" s="25" customFormat="1" ht="9" customHeight="1" thickBot="1">
      <c r="B58" s="23">
        <f t="shared" si="0"/>
        <v>54</v>
      </c>
      <c r="C58" s="37"/>
      <c r="D58" s="37"/>
      <c r="E58" s="37"/>
      <c r="F58" s="37"/>
      <c r="G58" s="38"/>
      <c r="H58" s="94"/>
    </row>
    <row r="59" spans="2:9" s="25" customFormat="1" ht="16.5" thickBot="1">
      <c r="B59" s="40">
        <f t="shared" si="0"/>
        <v>55</v>
      </c>
      <c r="C59" s="27" t="s">
        <v>2639</v>
      </c>
      <c r="D59" s="29" t="s">
        <v>255</v>
      </c>
      <c r="E59" s="27" t="s">
        <v>865</v>
      </c>
      <c r="F59" s="27" t="s">
        <v>866</v>
      </c>
      <c r="G59" s="26"/>
      <c r="H59" s="88" t="s">
        <v>2674</v>
      </c>
    </row>
    <row r="60" spans="2:9" s="25" customFormat="1" ht="16.5" thickBot="1">
      <c r="B60" s="40">
        <f t="shared" si="0"/>
        <v>56</v>
      </c>
      <c r="C60" s="27" t="s">
        <v>2639</v>
      </c>
      <c r="D60" s="29" t="s">
        <v>255</v>
      </c>
      <c r="E60" s="27" t="s">
        <v>865</v>
      </c>
      <c r="F60" s="27" t="s">
        <v>1728</v>
      </c>
      <c r="G60" s="26"/>
      <c r="H60" s="88" t="s">
        <v>3910</v>
      </c>
      <c r="I60" s="50" t="s">
        <v>2673</v>
      </c>
    </row>
    <row r="61" spans="2:9" s="25" customFormat="1" ht="16.5" thickBot="1">
      <c r="B61" s="40">
        <f t="shared" si="0"/>
        <v>57</v>
      </c>
      <c r="C61" s="27" t="s">
        <v>2639</v>
      </c>
      <c r="D61" s="29" t="s">
        <v>255</v>
      </c>
      <c r="E61" s="27" t="s">
        <v>865</v>
      </c>
      <c r="F61" s="27" t="s">
        <v>1333</v>
      </c>
      <c r="G61" s="27" t="s">
        <v>949</v>
      </c>
      <c r="H61" s="89" t="s">
        <v>2675</v>
      </c>
    </row>
    <row r="62" spans="2:9" s="25" customFormat="1" ht="16.5" thickBot="1">
      <c r="B62" s="40">
        <f t="shared" si="0"/>
        <v>58</v>
      </c>
      <c r="C62" s="27" t="s">
        <v>2639</v>
      </c>
      <c r="D62" s="29" t="s">
        <v>255</v>
      </c>
      <c r="E62" s="27" t="s">
        <v>865</v>
      </c>
      <c r="F62" s="27" t="s">
        <v>1333</v>
      </c>
      <c r="G62" s="27" t="s">
        <v>951</v>
      </c>
      <c r="H62" s="89" t="s">
        <v>2676</v>
      </c>
    </row>
    <row r="63" spans="2:9" s="25" customFormat="1" ht="16.5" thickBot="1">
      <c r="B63" s="40">
        <f t="shared" si="0"/>
        <v>59</v>
      </c>
      <c r="C63" s="27" t="s">
        <v>2639</v>
      </c>
      <c r="D63" s="29" t="s">
        <v>255</v>
      </c>
      <c r="E63" s="27" t="s">
        <v>865</v>
      </c>
      <c r="F63" s="27"/>
      <c r="G63" s="27" t="s">
        <v>1971</v>
      </c>
      <c r="H63" s="89" t="s">
        <v>3555</v>
      </c>
    </row>
    <row r="64" spans="2:9" s="25" customFormat="1" ht="16.5" thickBot="1">
      <c r="B64" s="40">
        <f t="shared" si="0"/>
        <v>60</v>
      </c>
      <c r="C64" s="27" t="s">
        <v>2639</v>
      </c>
      <c r="D64" s="29" t="s">
        <v>255</v>
      </c>
      <c r="E64" s="27" t="s">
        <v>865</v>
      </c>
      <c r="F64" s="68"/>
      <c r="G64" s="27" t="s">
        <v>3556</v>
      </c>
      <c r="H64" s="89" t="s">
        <v>3557</v>
      </c>
    </row>
    <row r="65" spans="2:9" s="25" customFormat="1" ht="9" customHeight="1" thickBot="1">
      <c r="B65" s="23">
        <f t="shared" si="0"/>
        <v>61</v>
      </c>
      <c r="C65" s="43"/>
      <c r="D65" s="43"/>
      <c r="E65" s="43"/>
      <c r="F65" s="43"/>
      <c r="G65" s="43"/>
      <c r="H65" s="94"/>
    </row>
    <row r="66" spans="2:9" s="25" customFormat="1" ht="9" customHeight="1" thickBot="1">
      <c r="B66" s="23">
        <f t="shared" si="0"/>
        <v>62</v>
      </c>
      <c r="C66" s="37"/>
      <c r="D66" s="37"/>
      <c r="E66" s="37"/>
      <c r="F66" s="37"/>
      <c r="G66" s="38"/>
      <c r="H66" s="94"/>
    </row>
    <row r="67" spans="2:9" s="25" customFormat="1" ht="16.5" thickBot="1">
      <c r="B67" s="40">
        <f t="shared" si="0"/>
        <v>63</v>
      </c>
      <c r="C67" s="27" t="s">
        <v>2639</v>
      </c>
      <c r="D67" s="29" t="s">
        <v>256</v>
      </c>
      <c r="E67" s="27" t="s">
        <v>865</v>
      </c>
      <c r="F67" s="27" t="s">
        <v>866</v>
      </c>
      <c r="G67" s="26"/>
      <c r="H67" s="89" t="s">
        <v>2678</v>
      </c>
    </row>
    <row r="68" spans="2:9" s="25" customFormat="1" ht="16.5" thickBot="1">
      <c r="B68" s="40">
        <f t="shared" si="0"/>
        <v>64</v>
      </c>
      <c r="C68" s="27" t="s">
        <v>2639</v>
      </c>
      <c r="D68" s="29" t="s">
        <v>256</v>
      </c>
      <c r="E68" s="27" t="s">
        <v>865</v>
      </c>
      <c r="F68" s="27" t="s">
        <v>1728</v>
      </c>
      <c r="G68" s="26"/>
      <c r="H68" s="88" t="s">
        <v>3911</v>
      </c>
      <c r="I68" s="50" t="s">
        <v>2677</v>
      </c>
    </row>
    <row r="69" spans="2:9" s="25" customFormat="1" ht="16.5" thickBot="1">
      <c r="B69" s="40">
        <f t="shared" si="0"/>
        <v>65</v>
      </c>
      <c r="C69" s="27" t="s">
        <v>2639</v>
      </c>
      <c r="D69" s="29" t="s">
        <v>256</v>
      </c>
      <c r="E69" s="27" t="s">
        <v>865</v>
      </c>
      <c r="F69" s="27" t="s">
        <v>1333</v>
      </c>
      <c r="G69" s="27" t="s">
        <v>1017</v>
      </c>
      <c r="H69" s="89" t="s">
        <v>2680</v>
      </c>
    </row>
    <row r="70" spans="2:9" s="25" customFormat="1" ht="16.5" thickBot="1">
      <c r="B70" s="40">
        <f t="shared" ref="B70:B83" si="1">B69+1</f>
        <v>66</v>
      </c>
      <c r="C70" s="27" t="s">
        <v>2639</v>
      </c>
      <c r="D70" s="29" t="s">
        <v>256</v>
      </c>
      <c r="E70" s="27" t="s">
        <v>865</v>
      </c>
      <c r="F70" s="27" t="s">
        <v>1333</v>
      </c>
      <c r="G70" s="27" t="s">
        <v>1019</v>
      </c>
      <c r="H70" s="89" t="s">
        <v>2681</v>
      </c>
    </row>
    <row r="71" spans="2:9" s="25" customFormat="1" ht="16.5" thickBot="1">
      <c r="B71" s="40">
        <f t="shared" si="1"/>
        <v>67</v>
      </c>
      <c r="C71" s="27" t="s">
        <v>2639</v>
      </c>
      <c r="D71" s="29" t="s">
        <v>256</v>
      </c>
      <c r="E71" s="27" t="s">
        <v>865</v>
      </c>
      <c r="F71" s="27" t="s">
        <v>1333</v>
      </c>
      <c r="G71" s="27" t="s">
        <v>1809</v>
      </c>
      <c r="H71" s="89" t="s">
        <v>2682</v>
      </c>
    </row>
    <row r="72" spans="2:9" s="25" customFormat="1" ht="16.5" thickBot="1">
      <c r="B72" s="40">
        <f t="shared" si="1"/>
        <v>68</v>
      </c>
      <c r="C72" s="27" t="s">
        <v>2639</v>
      </c>
      <c r="D72" s="29" t="s">
        <v>256</v>
      </c>
      <c r="E72" s="27" t="s">
        <v>865</v>
      </c>
      <c r="F72" s="27" t="s">
        <v>1333</v>
      </c>
      <c r="G72" s="27" t="s">
        <v>1811</v>
      </c>
      <c r="H72" s="89" t="s">
        <v>2683</v>
      </c>
    </row>
    <row r="73" spans="2:9" s="25" customFormat="1" ht="16.5" thickBot="1">
      <c r="B73" s="40">
        <f t="shared" si="1"/>
        <v>69</v>
      </c>
      <c r="C73" s="27" t="s">
        <v>2639</v>
      </c>
      <c r="D73" s="29" t="s">
        <v>256</v>
      </c>
      <c r="E73" s="27" t="s">
        <v>865</v>
      </c>
      <c r="F73" s="27" t="s">
        <v>1333</v>
      </c>
      <c r="G73" s="27" t="s">
        <v>1813</v>
      </c>
      <c r="H73" s="89" t="s">
        <v>3912</v>
      </c>
    </row>
    <row r="74" spans="2:9" s="25" customFormat="1" ht="16.5" thickBot="1">
      <c r="B74" s="40">
        <f t="shared" si="1"/>
        <v>70</v>
      </c>
      <c r="C74" s="27" t="s">
        <v>2639</v>
      </c>
      <c r="D74" s="29" t="s">
        <v>256</v>
      </c>
      <c r="E74" s="27" t="s">
        <v>865</v>
      </c>
      <c r="F74" s="27" t="s">
        <v>1333</v>
      </c>
      <c r="G74" s="27" t="s">
        <v>2250</v>
      </c>
      <c r="H74" s="89" t="s">
        <v>2684</v>
      </c>
    </row>
    <row r="75" spans="2:9" s="25" customFormat="1" ht="16.5" thickBot="1">
      <c r="B75" s="40">
        <f t="shared" si="1"/>
        <v>71</v>
      </c>
      <c r="C75" s="27" t="s">
        <v>2639</v>
      </c>
      <c r="D75" s="29" t="s">
        <v>256</v>
      </c>
      <c r="E75" s="49" t="s">
        <v>865</v>
      </c>
      <c r="F75" s="49"/>
      <c r="G75" s="49" t="s">
        <v>2679</v>
      </c>
      <c r="H75" s="90" t="s">
        <v>3558</v>
      </c>
    </row>
    <row r="76" spans="2:9" s="25" customFormat="1" ht="9" customHeight="1" thickBot="1">
      <c r="B76" s="23">
        <f t="shared" si="1"/>
        <v>72</v>
      </c>
      <c r="C76" s="43"/>
      <c r="D76" s="43"/>
      <c r="E76" s="43"/>
      <c r="F76" s="43"/>
      <c r="G76" s="43"/>
      <c r="H76" s="96"/>
    </row>
    <row r="77" spans="2:9" s="25" customFormat="1" ht="9" customHeight="1" thickBot="1">
      <c r="B77" s="23">
        <f t="shared" si="1"/>
        <v>73</v>
      </c>
      <c r="C77" s="37"/>
      <c r="D77" s="37"/>
      <c r="E77" s="37"/>
      <c r="F77" s="37"/>
      <c r="G77" s="38"/>
      <c r="H77" s="94"/>
    </row>
    <row r="78" spans="2:9" s="25" customFormat="1" ht="16.5" thickBot="1">
      <c r="B78" s="40">
        <f t="shared" si="1"/>
        <v>74</v>
      </c>
      <c r="C78" s="27" t="s">
        <v>2639</v>
      </c>
      <c r="D78" s="29" t="s">
        <v>179</v>
      </c>
      <c r="E78" s="27" t="s">
        <v>865</v>
      </c>
      <c r="F78" s="27" t="s">
        <v>866</v>
      </c>
      <c r="G78" s="26"/>
      <c r="H78" s="88" t="s">
        <v>2690</v>
      </c>
    </row>
    <row r="79" spans="2:9" s="25" customFormat="1" ht="16.5" thickBot="1">
      <c r="B79" s="40">
        <f t="shared" si="1"/>
        <v>75</v>
      </c>
      <c r="C79" s="27" t="s">
        <v>2639</v>
      </c>
      <c r="D79" s="29" t="s">
        <v>179</v>
      </c>
      <c r="E79" s="27" t="s">
        <v>865</v>
      </c>
      <c r="F79" s="27" t="s">
        <v>1728</v>
      </c>
      <c r="G79" s="26"/>
      <c r="H79" s="88" t="s">
        <v>3913</v>
      </c>
      <c r="I79" s="50" t="s">
        <v>2685</v>
      </c>
    </row>
    <row r="80" spans="2:9" s="25" customFormat="1" ht="16.5" thickBot="1">
      <c r="B80" s="40">
        <f t="shared" si="1"/>
        <v>76</v>
      </c>
      <c r="C80" s="27" t="s">
        <v>2639</v>
      </c>
      <c r="D80" s="29" t="s">
        <v>179</v>
      </c>
      <c r="E80" s="27" t="s">
        <v>865</v>
      </c>
      <c r="F80" s="27" t="s">
        <v>1333</v>
      </c>
      <c r="G80" s="27" t="s">
        <v>2686</v>
      </c>
      <c r="H80" s="89" t="s">
        <v>3914</v>
      </c>
    </row>
    <row r="81" spans="2:11" s="25" customFormat="1" ht="16.5" thickBot="1">
      <c r="B81" s="40">
        <f t="shared" si="1"/>
        <v>77</v>
      </c>
      <c r="C81" s="27" t="s">
        <v>2639</v>
      </c>
      <c r="D81" s="29" t="s">
        <v>179</v>
      </c>
      <c r="E81" s="27" t="s">
        <v>865</v>
      </c>
      <c r="F81" s="27" t="s">
        <v>1333</v>
      </c>
      <c r="G81" s="27" t="s">
        <v>2687</v>
      </c>
      <c r="H81" s="89" t="s">
        <v>2688</v>
      </c>
    </row>
    <row r="82" spans="2:11" s="25" customFormat="1" ht="16.5" thickBot="1">
      <c r="B82" s="40">
        <f t="shared" si="1"/>
        <v>78</v>
      </c>
      <c r="C82" s="27" t="s">
        <v>2639</v>
      </c>
      <c r="D82" s="29" t="s">
        <v>179</v>
      </c>
      <c r="E82" s="27" t="s">
        <v>865</v>
      </c>
      <c r="F82" s="27" t="s">
        <v>1333</v>
      </c>
      <c r="G82" s="27" t="s">
        <v>2689</v>
      </c>
      <c r="H82" s="89" t="s">
        <v>2688</v>
      </c>
    </row>
    <row r="83" spans="2:11" s="25" customFormat="1" ht="9" customHeight="1" thickBot="1">
      <c r="B83" s="23">
        <f t="shared" si="1"/>
        <v>79</v>
      </c>
      <c r="C83" s="43"/>
      <c r="D83" s="43"/>
      <c r="E83" s="43"/>
      <c r="F83" s="43"/>
      <c r="G83" s="43"/>
      <c r="H83" s="44"/>
    </row>
    <row r="84" spans="2:11" ht="16.5" thickBot="1">
      <c r="E84" s="25"/>
      <c r="K84" s="10"/>
    </row>
    <row r="85" spans="2:11" ht="15.75" thickBot="1">
      <c r="C85" s="111"/>
      <c r="D85" s="112"/>
      <c r="F85" s="111"/>
      <c r="G85" s="113"/>
      <c r="H85" s="113"/>
      <c r="I85" s="113"/>
      <c r="J85" s="112"/>
    </row>
    <row r="86" spans="2:11">
      <c r="C86" s="72"/>
      <c r="D86" s="73"/>
      <c r="F86" s="72"/>
      <c r="G86" s="76"/>
      <c r="H86" s="76"/>
      <c r="I86" s="76"/>
      <c r="J86" s="73"/>
    </row>
    <row r="87" spans="2:11">
      <c r="C87" s="72"/>
      <c r="D87" s="73"/>
      <c r="F87" s="72"/>
      <c r="G87" s="76"/>
      <c r="H87" s="76"/>
      <c r="I87" s="76"/>
      <c r="J87" s="73"/>
    </row>
    <row r="88" spans="2:11">
      <c r="C88" s="72"/>
      <c r="D88" s="73"/>
      <c r="F88" s="72"/>
      <c r="G88" s="76"/>
      <c r="H88" s="76"/>
      <c r="I88" s="76"/>
      <c r="J88" s="73"/>
    </row>
    <row r="89" spans="2:11">
      <c r="C89" s="72"/>
      <c r="D89" s="73"/>
      <c r="F89" s="72"/>
      <c r="G89" s="76"/>
      <c r="H89" s="76"/>
      <c r="I89" s="76"/>
      <c r="J89" s="73"/>
    </row>
    <row r="90" spans="2:11">
      <c r="C90" s="72"/>
      <c r="D90" s="73"/>
      <c r="F90" s="72"/>
      <c r="G90" s="76"/>
      <c r="H90" s="76"/>
      <c r="I90" s="76"/>
      <c r="J90" s="73"/>
    </row>
    <row r="91" spans="2:11">
      <c r="C91" s="72"/>
      <c r="D91" s="73"/>
      <c r="F91" s="72"/>
      <c r="G91" s="76"/>
      <c r="H91" s="76"/>
      <c r="I91" s="76"/>
      <c r="J91" s="73"/>
    </row>
    <row r="92" spans="2:11">
      <c r="C92" s="72"/>
      <c r="D92" s="73"/>
      <c r="F92" s="72"/>
      <c r="G92" s="76"/>
      <c r="H92" s="76"/>
      <c r="I92" s="76"/>
      <c r="J92" s="73"/>
    </row>
    <row r="93" spans="2:11">
      <c r="C93" s="72"/>
      <c r="D93" s="73"/>
      <c r="F93" s="72"/>
      <c r="G93" s="76"/>
      <c r="H93" s="76"/>
      <c r="I93" s="76"/>
      <c r="J93" s="73"/>
    </row>
    <row r="94" spans="2:11">
      <c r="C94" s="72"/>
      <c r="D94" s="73"/>
      <c r="F94" s="72"/>
      <c r="G94" s="76"/>
      <c r="H94" s="76"/>
      <c r="I94" s="76"/>
      <c r="J94" s="73"/>
    </row>
    <row r="95" spans="2:11">
      <c r="C95" s="72"/>
      <c r="D95" s="73"/>
      <c r="F95" s="72"/>
      <c r="G95" s="76"/>
      <c r="H95" s="76"/>
      <c r="I95" s="76"/>
      <c r="J95" s="73"/>
    </row>
    <row r="96" spans="2:11">
      <c r="C96" s="72"/>
      <c r="D96" s="73"/>
      <c r="F96" s="72"/>
      <c r="G96" s="76"/>
      <c r="H96" s="76"/>
      <c r="I96" s="76"/>
      <c r="J96" s="73"/>
    </row>
    <row r="97" spans="3:10">
      <c r="C97" s="72"/>
      <c r="D97" s="73"/>
      <c r="F97" s="72"/>
      <c r="G97" s="76"/>
      <c r="H97" s="76"/>
      <c r="I97" s="76"/>
      <c r="J97" s="73"/>
    </row>
    <row r="98" spans="3:10">
      <c r="C98" s="72"/>
      <c r="D98" s="73"/>
      <c r="F98" s="72"/>
      <c r="G98" s="76"/>
      <c r="H98" s="76"/>
      <c r="I98" s="76"/>
      <c r="J98" s="73"/>
    </row>
    <row r="99" spans="3:10">
      <c r="C99" s="72"/>
      <c r="D99" s="73"/>
      <c r="F99" s="72"/>
      <c r="G99" s="76"/>
      <c r="H99" s="76"/>
      <c r="I99" s="76"/>
      <c r="J99" s="73"/>
    </row>
    <row r="100" spans="3:10">
      <c r="C100" s="72"/>
      <c r="D100" s="73"/>
      <c r="F100" s="72"/>
      <c r="G100" s="76"/>
      <c r="H100" s="76"/>
      <c r="I100" s="76"/>
      <c r="J100" s="73"/>
    </row>
    <row r="101" spans="3:10">
      <c r="C101" s="72"/>
      <c r="D101" s="73"/>
      <c r="F101" s="72"/>
      <c r="G101" s="76"/>
      <c r="H101" s="76"/>
      <c r="I101" s="76"/>
      <c r="J101" s="73"/>
    </row>
    <row r="102" spans="3:10">
      <c r="C102" s="72"/>
      <c r="D102" s="73"/>
      <c r="F102" s="72"/>
      <c r="G102" s="76"/>
      <c r="H102" s="76"/>
      <c r="I102" s="76"/>
      <c r="J102" s="73"/>
    </row>
    <row r="103" spans="3:10">
      <c r="C103" s="72"/>
      <c r="D103" s="73"/>
      <c r="F103" s="72"/>
      <c r="G103" s="76"/>
      <c r="H103" s="76"/>
      <c r="I103" s="76"/>
      <c r="J103" s="73"/>
    </row>
    <row r="104" spans="3:10">
      <c r="C104" s="72"/>
      <c r="D104" s="73"/>
      <c r="F104" s="72"/>
      <c r="G104" s="76"/>
      <c r="H104" s="76"/>
      <c r="I104" s="76"/>
      <c r="J104" s="73"/>
    </row>
    <row r="105" spans="3:10">
      <c r="C105" s="72"/>
      <c r="D105" s="73"/>
      <c r="F105" s="72"/>
      <c r="G105" s="76"/>
      <c r="H105" s="76"/>
      <c r="I105" s="76"/>
      <c r="J105" s="73"/>
    </row>
    <row r="106" spans="3:10">
      <c r="C106" s="72"/>
      <c r="D106" s="73"/>
      <c r="F106" s="72"/>
      <c r="G106" s="76"/>
      <c r="H106" s="76"/>
      <c r="I106" s="76"/>
      <c r="J106" s="73"/>
    </row>
    <row r="107" spans="3:10">
      <c r="C107" s="72"/>
      <c r="D107" s="73"/>
      <c r="F107" s="72"/>
      <c r="G107" s="76"/>
      <c r="H107" s="76"/>
      <c r="I107" s="76"/>
      <c r="J107" s="73"/>
    </row>
    <row r="108" spans="3:10">
      <c r="C108" s="72"/>
      <c r="D108" s="73"/>
      <c r="F108" s="72"/>
      <c r="G108" s="76"/>
      <c r="H108" s="76"/>
      <c r="I108" s="76"/>
      <c r="J108" s="73"/>
    </row>
    <row r="109" spans="3:10">
      <c r="C109" s="72"/>
      <c r="D109" s="73"/>
      <c r="F109" s="72"/>
      <c r="G109" s="76"/>
      <c r="H109" s="76"/>
      <c r="I109" s="76"/>
      <c r="J109" s="73"/>
    </row>
    <row r="110" spans="3:10">
      <c r="C110" s="72"/>
      <c r="D110" s="73"/>
      <c r="F110" s="72"/>
      <c r="G110" s="76"/>
      <c r="H110" s="76"/>
      <c r="I110" s="76"/>
      <c r="J110" s="73"/>
    </row>
    <row r="111" spans="3:10">
      <c r="C111" s="72"/>
      <c r="D111" s="73"/>
      <c r="F111" s="72"/>
      <c r="G111" s="76"/>
      <c r="H111" s="76"/>
      <c r="I111" s="76"/>
      <c r="J111" s="73"/>
    </row>
    <row r="112" spans="3:10">
      <c r="C112" s="72"/>
      <c r="D112" s="73"/>
      <c r="F112" s="72"/>
      <c r="G112" s="76"/>
      <c r="H112" s="76"/>
      <c r="I112" s="76"/>
      <c r="J112" s="73"/>
    </row>
    <row r="113" spans="3:10">
      <c r="C113" s="72"/>
      <c r="D113" s="73"/>
      <c r="F113" s="72"/>
      <c r="G113" s="76"/>
      <c r="H113" s="76"/>
      <c r="I113" s="76"/>
      <c r="J113" s="73"/>
    </row>
    <row r="114" spans="3:10">
      <c r="C114" s="72"/>
      <c r="D114" s="73"/>
      <c r="F114" s="72"/>
      <c r="G114" s="76"/>
      <c r="H114" s="76"/>
      <c r="I114" s="76"/>
      <c r="J114" s="73"/>
    </row>
    <row r="115" spans="3:10">
      <c r="C115" s="72"/>
      <c r="D115" s="73"/>
      <c r="F115" s="72"/>
      <c r="G115" s="76"/>
      <c r="H115" s="76"/>
      <c r="I115" s="76"/>
      <c r="J115" s="73"/>
    </row>
    <row r="116" spans="3:10">
      <c r="C116" s="72"/>
      <c r="D116" s="73"/>
      <c r="F116" s="72"/>
      <c r="G116" s="76"/>
      <c r="H116" s="76"/>
      <c r="I116" s="76"/>
      <c r="J116" s="73"/>
    </row>
    <row r="117" spans="3:10">
      <c r="C117" s="72"/>
      <c r="D117" s="73"/>
      <c r="F117" s="72"/>
      <c r="G117" s="76"/>
      <c r="H117" s="76"/>
      <c r="I117" s="76"/>
      <c r="J117" s="73"/>
    </row>
    <row r="118" spans="3:10">
      <c r="C118" s="72"/>
      <c r="D118" s="73"/>
      <c r="F118" s="72"/>
      <c r="G118" s="76"/>
      <c r="H118" s="76"/>
      <c r="I118" s="76"/>
      <c r="J118" s="73"/>
    </row>
    <row r="119" spans="3:10">
      <c r="C119" s="72"/>
      <c r="D119" s="73"/>
      <c r="F119" s="72"/>
      <c r="G119" s="76"/>
      <c r="H119" s="76"/>
      <c r="I119" s="76"/>
      <c r="J119" s="73"/>
    </row>
    <row r="120" spans="3:10">
      <c r="C120" s="72"/>
      <c r="D120" s="73"/>
      <c r="F120" s="72"/>
      <c r="G120" s="76"/>
      <c r="H120" s="76"/>
      <c r="I120" s="76"/>
      <c r="J120" s="73"/>
    </row>
    <row r="121" spans="3:10">
      <c r="C121" s="72"/>
      <c r="D121" s="73"/>
      <c r="F121" s="72"/>
      <c r="G121" s="76"/>
      <c r="H121" s="76"/>
      <c r="I121" s="76"/>
      <c r="J121" s="73"/>
    </row>
    <row r="122" spans="3:10">
      <c r="C122" s="72"/>
      <c r="D122" s="73"/>
      <c r="F122" s="72"/>
      <c r="G122" s="76"/>
      <c r="H122" s="76"/>
      <c r="I122" s="76"/>
      <c r="J122" s="73"/>
    </row>
    <row r="123" spans="3:10">
      <c r="C123" s="72"/>
      <c r="D123" s="73"/>
      <c r="F123" s="72"/>
      <c r="G123" s="76"/>
      <c r="H123" s="76"/>
      <c r="I123" s="76"/>
      <c r="J123" s="73"/>
    </row>
    <row r="124" spans="3:10">
      <c r="C124" s="72"/>
      <c r="D124" s="73"/>
      <c r="F124" s="72"/>
      <c r="G124" s="76"/>
      <c r="H124" s="76"/>
      <c r="I124" s="76"/>
      <c r="J124" s="73"/>
    </row>
    <row r="125" spans="3:10">
      <c r="C125" s="72"/>
      <c r="D125" s="73"/>
      <c r="F125" s="72"/>
      <c r="G125" s="76"/>
      <c r="H125" s="76"/>
      <c r="I125" s="76"/>
      <c r="J125" s="73"/>
    </row>
    <row r="126" spans="3:10">
      <c r="C126" s="72"/>
      <c r="D126" s="73"/>
      <c r="F126" s="72"/>
      <c r="G126" s="76"/>
      <c r="H126" s="76"/>
      <c r="I126" s="76"/>
      <c r="J126" s="73"/>
    </row>
    <row r="127" spans="3:10">
      <c r="C127" s="72"/>
      <c r="D127" s="73"/>
      <c r="F127" s="72"/>
      <c r="G127" s="76"/>
      <c r="H127" s="76"/>
      <c r="I127" s="76"/>
      <c r="J127" s="73"/>
    </row>
    <row r="128" spans="3:10">
      <c r="C128" s="72"/>
      <c r="D128" s="73"/>
      <c r="F128" s="72"/>
      <c r="G128" s="76"/>
      <c r="H128" s="76"/>
      <c r="I128" s="76"/>
      <c r="J128" s="73"/>
    </row>
    <row r="129" spans="3:10">
      <c r="C129" s="72"/>
      <c r="D129" s="73"/>
      <c r="F129" s="72"/>
      <c r="G129" s="76"/>
      <c r="H129" s="76"/>
      <c r="I129" s="76"/>
      <c r="J129" s="73"/>
    </row>
    <row r="130" spans="3:10">
      <c r="C130" s="72"/>
      <c r="D130" s="73"/>
      <c r="F130" s="72"/>
      <c r="G130" s="76"/>
      <c r="H130" s="76"/>
      <c r="I130" s="76"/>
      <c r="J130" s="73"/>
    </row>
    <row r="131" spans="3:10">
      <c r="C131" s="72"/>
      <c r="D131" s="73"/>
      <c r="F131" s="72"/>
      <c r="G131" s="76"/>
      <c r="H131" s="76"/>
      <c r="I131" s="76"/>
      <c r="J131" s="73"/>
    </row>
    <row r="132" spans="3:10">
      <c r="C132" s="72"/>
      <c r="D132" s="73"/>
      <c r="F132" s="72"/>
      <c r="G132" s="76"/>
      <c r="H132" s="76"/>
      <c r="I132" s="76"/>
      <c r="J132" s="73"/>
    </row>
    <row r="133" spans="3:10">
      <c r="C133" s="72"/>
      <c r="D133" s="73"/>
      <c r="F133" s="72"/>
      <c r="G133" s="76"/>
      <c r="H133" s="76"/>
      <c r="I133" s="76"/>
      <c r="J133" s="73"/>
    </row>
    <row r="134" spans="3:10">
      <c r="C134" s="72"/>
      <c r="D134" s="73"/>
      <c r="F134" s="72"/>
      <c r="G134" s="76"/>
      <c r="H134" s="76"/>
      <c r="I134" s="76"/>
      <c r="J134" s="73"/>
    </row>
    <row r="135" spans="3:10">
      <c r="C135" s="72"/>
      <c r="D135" s="73"/>
      <c r="F135" s="72"/>
      <c r="G135" s="76"/>
      <c r="H135" s="76"/>
      <c r="I135" s="76"/>
      <c r="J135" s="73"/>
    </row>
    <row r="136" spans="3:10">
      <c r="C136" s="72"/>
      <c r="D136" s="73"/>
      <c r="F136" s="72"/>
      <c r="G136" s="76"/>
      <c r="H136" s="76"/>
      <c r="I136" s="76"/>
      <c r="J136" s="73"/>
    </row>
    <row r="137" spans="3:10">
      <c r="C137" s="72"/>
      <c r="D137" s="73"/>
      <c r="F137" s="72"/>
      <c r="G137" s="76"/>
      <c r="H137" s="76"/>
      <c r="I137" s="76"/>
      <c r="J137" s="73"/>
    </row>
    <row r="138" spans="3:10">
      <c r="C138" s="72"/>
      <c r="D138" s="73"/>
      <c r="F138" s="72"/>
      <c r="G138" s="76"/>
      <c r="H138" s="76"/>
      <c r="I138" s="76"/>
      <c r="J138" s="73"/>
    </row>
    <row r="139" spans="3:10">
      <c r="C139" s="72"/>
      <c r="D139" s="73"/>
      <c r="F139" s="72"/>
      <c r="G139" s="76"/>
      <c r="H139" s="76"/>
      <c r="I139" s="76"/>
      <c r="J139" s="73"/>
    </row>
    <row r="140" spans="3:10">
      <c r="C140" s="72"/>
      <c r="D140" s="73"/>
      <c r="F140" s="72"/>
      <c r="G140" s="76"/>
      <c r="H140" s="76"/>
      <c r="I140" s="76"/>
      <c r="J140" s="73"/>
    </row>
    <row r="141" spans="3:10">
      <c r="C141" s="72"/>
      <c r="D141" s="73"/>
      <c r="F141" s="72"/>
      <c r="G141" s="76"/>
      <c r="H141" s="76"/>
      <c r="I141" s="76"/>
      <c r="J141" s="73"/>
    </row>
    <row r="142" spans="3:10">
      <c r="C142" s="72"/>
      <c r="D142" s="73"/>
      <c r="F142" s="72"/>
      <c r="G142" s="76"/>
      <c r="H142" s="76"/>
      <c r="I142" s="76"/>
      <c r="J142" s="73"/>
    </row>
    <row r="143" spans="3:10">
      <c r="C143" s="72"/>
      <c r="D143" s="73"/>
      <c r="F143" s="72"/>
      <c r="G143" s="76"/>
      <c r="H143" s="76"/>
      <c r="I143" s="76"/>
      <c r="J143" s="73"/>
    </row>
    <row r="144" spans="3:10">
      <c r="C144" s="72"/>
      <c r="D144" s="73"/>
      <c r="F144" s="72"/>
      <c r="G144" s="76"/>
      <c r="H144" s="76"/>
      <c r="I144" s="76"/>
      <c r="J144" s="73"/>
    </row>
    <row r="145" spans="3:10">
      <c r="C145" s="72"/>
      <c r="D145" s="73"/>
      <c r="F145" s="72"/>
      <c r="G145" s="76"/>
      <c r="H145" s="76"/>
      <c r="I145" s="76"/>
      <c r="J145" s="73"/>
    </row>
    <row r="146" spans="3:10">
      <c r="C146" s="72"/>
      <c r="D146" s="73"/>
      <c r="F146" s="72"/>
      <c r="G146" s="76"/>
      <c r="H146" s="76"/>
      <c r="I146" s="76"/>
      <c r="J146" s="73"/>
    </row>
    <row r="147" spans="3:10">
      <c r="C147" s="72"/>
      <c r="D147" s="73"/>
      <c r="F147" s="72"/>
      <c r="G147" s="76"/>
      <c r="H147" s="76"/>
      <c r="I147" s="76"/>
      <c r="J147" s="73"/>
    </row>
    <row r="148" spans="3:10">
      <c r="C148" s="72"/>
      <c r="D148" s="73"/>
      <c r="F148" s="72"/>
      <c r="G148" s="76"/>
      <c r="H148" s="76"/>
      <c r="I148" s="76"/>
      <c r="J148" s="73"/>
    </row>
    <row r="149" spans="3:10">
      <c r="C149" s="72"/>
      <c r="D149" s="73"/>
      <c r="F149" s="72"/>
      <c r="G149" s="76"/>
      <c r="H149" s="76"/>
      <c r="I149" s="76"/>
      <c r="J149" s="73"/>
    </row>
    <row r="150" spans="3:10">
      <c r="C150" s="72"/>
      <c r="D150" s="73"/>
      <c r="F150" s="72"/>
      <c r="G150" s="76"/>
      <c r="H150" s="76"/>
      <c r="I150" s="76"/>
      <c r="J150" s="73"/>
    </row>
    <row r="151" spans="3:10">
      <c r="C151" s="72"/>
      <c r="D151" s="73"/>
      <c r="F151" s="72"/>
      <c r="G151" s="76"/>
      <c r="H151" s="76"/>
      <c r="I151" s="76"/>
      <c r="J151" s="73"/>
    </row>
    <row r="152" spans="3:10">
      <c r="C152" s="72"/>
      <c r="D152" s="73"/>
      <c r="F152" s="72"/>
      <c r="G152" s="76"/>
      <c r="H152" s="76"/>
      <c r="I152" s="76"/>
      <c r="J152" s="73"/>
    </row>
    <row r="153" spans="3:10">
      <c r="C153" s="72"/>
      <c r="D153" s="73"/>
      <c r="F153" s="72"/>
      <c r="G153" s="76"/>
      <c r="H153" s="76"/>
      <c r="I153" s="76"/>
      <c r="J153" s="73"/>
    </row>
    <row r="154" spans="3:10">
      <c r="C154" s="72"/>
      <c r="D154" s="73"/>
      <c r="F154" s="72"/>
      <c r="G154" s="76"/>
      <c r="H154" s="76"/>
      <c r="I154" s="76"/>
      <c r="J154" s="73"/>
    </row>
    <row r="155" spans="3:10">
      <c r="C155" s="72"/>
      <c r="D155" s="73"/>
      <c r="F155" s="72"/>
      <c r="G155" s="76"/>
      <c r="H155" s="76"/>
      <c r="I155" s="76"/>
      <c r="J155" s="73"/>
    </row>
    <row r="156" spans="3:10">
      <c r="C156" s="72"/>
      <c r="D156" s="73"/>
      <c r="F156" s="72"/>
      <c r="G156" s="76"/>
      <c r="H156" s="76"/>
      <c r="I156" s="76"/>
      <c r="J156" s="73"/>
    </row>
    <row r="157" spans="3:10">
      <c r="C157" s="72"/>
      <c r="D157" s="73"/>
      <c r="F157" s="72"/>
      <c r="G157" s="76"/>
      <c r="H157" s="76"/>
      <c r="I157" s="76"/>
      <c r="J157" s="73"/>
    </row>
    <row r="158" spans="3:10">
      <c r="C158" s="72"/>
      <c r="D158" s="73"/>
      <c r="F158" s="72"/>
      <c r="G158" s="76"/>
      <c r="H158" s="76"/>
      <c r="I158" s="76"/>
      <c r="J158" s="73"/>
    </row>
    <row r="159" spans="3:10">
      <c r="C159" s="72"/>
      <c r="D159" s="73"/>
      <c r="F159" s="72"/>
      <c r="G159" s="76"/>
      <c r="H159" s="76"/>
      <c r="I159" s="76"/>
      <c r="J159" s="73"/>
    </row>
    <row r="160" spans="3:10">
      <c r="C160" s="72"/>
      <c r="D160" s="73"/>
      <c r="F160" s="72"/>
      <c r="G160" s="76"/>
      <c r="H160" s="76"/>
      <c r="I160" s="76"/>
      <c r="J160" s="73"/>
    </row>
    <row r="161" spans="3:10">
      <c r="C161" s="72"/>
      <c r="D161" s="73"/>
      <c r="F161" s="72"/>
      <c r="G161" s="76"/>
      <c r="H161" s="76"/>
      <c r="I161" s="76"/>
      <c r="J161" s="73"/>
    </row>
    <row r="162" spans="3:10">
      <c r="C162" s="72"/>
      <c r="D162" s="73"/>
      <c r="F162" s="72"/>
      <c r="G162" s="76"/>
      <c r="H162" s="76"/>
      <c r="I162" s="76"/>
      <c r="J162" s="73"/>
    </row>
    <row r="163" spans="3:10">
      <c r="C163" s="72"/>
      <c r="D163" s="73"/>
      <c r="F163" s="72"/>
      <c r="G163" s="76"/>
      <c r="H163" s="76"/>
      <c r="I163" s="76"/>
      <c r="J163" s="73"/>
    </row>
    <row r="164" spans="3:10">
      <c r="C164" s="72"/>
      <c r="D164" s="73"/>
      <c r="F164" s="72"/>
      <c r="G164" s="76"/>
      <c r="H164" s="76"/>
      <c r="I164" s="76"/>
      <c r="J164" s="73"/>
    </row>
    <row r="165" spans="3:10">
      <c r="C165" s="72"/>
      <c r="D165" s="73"/>
      <c r="F165" s="72"/>
      <c r="G165" s="76"/>
      <c r="H165" s="76"/>
      <c r="I165" s="76"/>
      <c r="J165" s="73"/>
    </row>
    <row r="166" spans="3:10">
      <c r="C166" s="72"/>
      <c r="D166" s="73"/>
      <c r="F166" s="72"/>
      <c r="G166" s="76"/>
      <c r="H166" s="76"/>
      <c r="I166" s="76"/>
      <c r="J166" s="73"/>
    </row>
    <row r="167" spans="3:10">
      <c r="C167" s="72"/>
      <c r="D167" s="73"/>
      <c r="F167" s="72"/>
      <c r="G167" s="76"/>
      <c r="H167" s="76"/>
      <c r="I167" s="76"/>
      <c r="J167" s="73"/>
    </row>
    <row r="168" spans="3:10" ht="15.75" thickBot="1">
      <c r="C168" s="72"/>
      <c r="D168" s="73"/>
      <c r="F168" s="74"/>
      <c r="G168" s="77"/>
      <c r="H168" s="77"/>
      <c r="I168" s="77"/>
      <c r="J168" s="75"/>
    </row>
    <row r="169" spans="3:10">
      <c r="C169" s="72"/>
      <c r="D169" s="73"/>
    </row>
    <row r="170" spans="3:10">
      <c r="C170" s="72"/>
      <c r="D170" s="73"/>
    </row>
    <row r="171" spans="3:10">
      <c r="C171" s="72"/>
      <c r="D171" s="73"/>
    </row>
    <row r="172" spans="3:10">
      <c r="C172" s="72"/>
      <c r="D172" s="73"/>
    </row>
    <row r="173" spans="3:10">
      <c r="C173" s="72"/>
      <c r="D173" s="73"/>
    </row>
    <row r="174" spans="3:10">
      <c r="C174" s="72"/>
      <c r="D174" s="73"/>
    </row>
    <row r="175" spans="3:10">
      <c r="C175" s="72"/>
      <c r="D175" s="83"/>
    </row>
    <row r="176" spans="3:10">
      <c r="C176" s="72"/>
      <c r="D176" s="73"/>
    </row>
    <row r="177" spans="3:4">
      <c r="C177" s="72"/>
      <c r="D177" s="73"/>
    </row>
    <row r="178" spans="3:4">
      <c r="C178" s="72"/>
      <c r="D178" s="73"/>
    </row>
    <row r="179" spans="3:4">
      <c r="C179" s="72"/>
      <c r="D179" s="73"/>
    </row>
    <row r="180" spans="3:4">
      <c r="C180" s="72"/>
      <c r="D180" s="73"/>
    </row>
    <row r="181" spans="3:4">
      <c r="C181" s="72"/>
      <c r="D181" s="73"/>
    </row>
    <row r="182" spans="3:4">
      <c r="C182" s="72"/>
      <c r="D182" s="73"/>
    </row>
    <row r="183" spans="3:4">
      <c r="C183" s="72"/>
      <c r="D183" s="73"/>
    </row>
    <row r="184" spans="3:4">
      <c r="C184" s="72"/>
      <c r="D184" s="73"/>
    </row>
    <row r="185" spans="3:4">
      <c r="C185" s="72"/>
      <c r="D185" s="73"/>
    </row>
    <row r="186" spans="3:4">
      <c r="C186" s="72"/>
      <c r="D186" s="73"/>
    </row>
    <row r="187" spans="3:4">
      <c r="C187" s="72"/>
      <c r="D187" s="73"/>
    </row>
    <row r="188" spans="3:4">
      <c r="C188" s="72"/>
      <c r="D188" s="73"/>
    </row>
    <row r="189" spans="3:4">
      <c r="C189" s="72"/>
      <c r="D189" s="73"/>
    </row>
    <row r="190" spans="3:4">
      <c r="C190" s="72"/>
      <c r="D190" s="73"/>
    </row>
    <row r="191" spans="3:4">
      <c r="C191" s="72"/>
      <c r="D191" s="73"/>
    </row>
    <row r="192" spans="3:4">
      <c r="C192" s="72"/>
      <c r="D192" s="73"/>
    </row>
    <row r="193" spans="3:4">
      <c r="C193" s="72"/>
      <c r="D193" s="73"/>
    </row>
    <row r="194" spans="3:4">
      <c r="C194" s="72"/>
      <c r="D194" s="73"/>
    </row>
    <row r="195" spans="3:4">
      <c r="C195" s="72"/>
      <c r="D195" s="73"/>
    </row>
    <row r="196" spans="3:4">
      <c r="C196" s="72"/>
      <c r="D196" s="73"/>
    </row>
    <row r="197" spans="3:4">
      <c r="C197" s="72"/>
      <c r="D197" s="73"/>
    </row>
    <row r="198" spans="3:4">
      <c r="C198" s="72"/>
      <c r="D198" s="73"/>
    </row>
    <row r="199" spans="3:4">
      <c r="C199" s="72"/>
      <c r="D199" s="73"/>
    </row>
    <row r="200" spans="3:4" ht="15.75" thickBot="1">
      <c r="C200" s="74"/>
      <c r="D200" s="75"/>
    </row>
  </sheetData>
  <mergeCells count="3">
    <mergeCell ref="C1:H1"/>
    <mergeCell ref="C85:D85"/>
    <mergeCell ref="F85:J85"/>
  </mergeCells>
  <dataValidations count="5">
    <dataValidation type="custom" allowBlank="1" showInputMessage="1" showErrorMessage="1" sqref="E83 E35:E36 E20:E21 E14:E15 E3:E4 E27:E28 E76:E77 E42:E43 E50:E51 E57:E58 E65:E66">
      <formula1>"Referencia,Servicios"</formula1>
    </dataValidation>
    <dataValidation type="list" allowBlank="1" showInputMessage="1" showErrorMessage="1" sqref="C59:C64 C67:C75 C29:C34 C5:C13 C16:C19 C22:C26 C37:C41 C78:C82 C44:C49 C52:C56">
      <formula1>Grupo</formula1>
    </dataValidation>
    <dataValidation type="list" allowBlank="1" showInputMessage="1" showErrorMessage="1" sqref="D59:D64 D67:D75 D29:D34 D5:D13 D16:D19 D22:D26 D37:D41 D52:D56 D78:D82 D44:D49">
      <formula1>Estaciones</formula1>
    </dataValidation>
    <dataValidation type="list" allowBlank="1" showInputMessage="1" showErrorMessage="1" sqref="F78:F82 F67:F75 F29:F34 F5:F13 F16:F19 F22:F26 F37:F41 F44:F49 F59:F64 F52:F56">
      <formula1>Clase</formula1>
    </dataValidation>
    <dataValidation type="list" allowBlank="1" showInputMessage="1" showErrorMessage="1" sqref="E52:E56 E67:E75 E29:E34 E5:E13 E16:E19 E22:E26 E37:E41 E44:E49 E59:E64 E78:E82">
      <formula1>"Servicios,Referencia"</formula1>
    </dataValidation>
  </dataValidations>
  <hyperlinks>
    <hyperlink ref="I6" r:id="rId1" display="http://toolserver.org/~geohack/geohack.php?pagename=Mart%C3%ADn_Carrera_(estaci%C3%B3n)&amp;language=es&amp;params=19.484921_N_99.104404_W_region:MX_type:railwaystation"/>
    <hyperlink ref="I17" r:id="rId2" display="http://toolserver.org/~geohack/geohack.php?pagename=Talism%C3%A1n_(estaci%C3%B3n)&amp;language=es&amp;params=19.47428_N_99.108009_W_region:MX_type:railwaystation"/>
    <hyperlink ref="I23" r:id="rId3" display="http://toolserver.org/~geohack/geohack.php?pagename=Bondojito_(estaci%C3%B3n)&amp;language=es&amp;params=19.46461_N_99.111958_W_region:MX_type:railwaystation"/>
    <hyperlink ref="I30" r:id="rId4" display="http://toolserver.org/~geohack/geohack.php?pagename=Consulado_(estaci%C3%B3n)&amp;language=es&amp;params=19.457893_N_99.113932_W_region:MX_type:railwaystation"/>
    <hyperlink ref="I38" r:id="rId5" display="http://toolserver.org/~geohack/geohack.php?pagename=Canal_del_Norte_(estaci%C3%B3n)&amp;language=es&amp;params=19.449112_N_99.116507_W_region:MX_type:railwaystation"/>
    <hyperlink ref="I60" r:id="rId6" display="http://toolserver.org/~geohack/geohack.php?pagename=Fray_Servando_(estaci%C3%B3n)&amp;language=es&amp;params=19.421633_N_99.120541_W_region:MX_type:railwaystation"/>
    <hyperlink ref="I68" r:id="rId7" display="http://toolserver.org/~geohack/geohack.php?pagename=Jamaica_(estaci%C3%B3n_Metro_de_Ciudad_de_M%C3%A9xico)&amp;language=es&amp;params=19.409004_N_99.122171_W_region:MX_type:railwaystation"/>
    <hyperlink ref="I79" r:id="rId8" display="http://toolserver.org/~geohack/geohack.php?pagename=Santa_Anita_(estaci%C3%B3n)&amp;language=es&amp;params=19.40273_N_99.121699_W_region:MX_type:railwaystation"/>
  </hyperlinks>
  <pageMargins left="0.7" right="0.7" top="0.75" bottom="0.75" header="0.3" footer="0.3"/>
  <legacyDrawing r:id="rId9"/>
</worksheet>
</file>

<file path=xl/worksheets/sheet15.xml><?xml version="1.0" encoding="utf-8"?>
<worksheet xmlns="http://schemas.openxmlformats.org/spreadsheetml/2006/main" xmlns:r="http://schemas.openxmlformats.org/officeDocument/2006/relationships">
  <sheetPr codeName="Hoja19"/>
  <dimension ref="B1:K225"/>
  <sheetViews>
    <sheetView topLeftCell="C1" workbookViewId="0">
      <selection activeCell="C13" activeCellId="1" sqref="C16:C25 C5:C13"/>
    </sheetView>
  </sheetViews>
  <sheetFormatPr baseColWidth="10" defaultRowHeight="15"/>
  <cols>
    <col min="1" max="1" width="3" customWidth="1"/>
    <col min="2" max="2" width="4.42578125" bestFit="1" customWidth="1"/>
    <col min="3" max="3" width="22"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103</v>
      </c>
      <c r="C3" s="33" t="s">
        <v>2</v>
      </c>
      <c r="D3" s="34" t="s">
        <v>1</v>
      </c>
      <c r="E3" s="34" t="s">
        <v>862</v>
      </c>
      <c r="F3" s="34" t="s">
        <v>863</v>
      </c>
      <c r="G3" s="34" t="s">
        <v>864</v>
      </c>
      <c r="H3" s="35" t="s">
        <v>358</v>
      </c>
    </row>
    <row r="4" spans="2:9" s="25" customFormat="1" ht="9" customHeight="1" thickBot="1">
      <c r="B4" s="46"/>
      <c r="C4" s="37"/>
      <c r="D4" s="37"/>
      <c r="E4" s="37"/>
      <c r="F4" s="37"/>
      <c r="G4" s="38"/>
      <c r="H4" s="39"/>
    </row>
    <row r="5" spans="2:9" s="25" customFormat="1" ht="16.5" thickBot="1">
      <c r="B5" s="40">
        <v>1</v>
      </c>
      <c r="C5" s="27" t="s">
        <v>4307</v>
      </c>
      <c r="D5" s="29" t="s">
        <v>191</v>
      </c>
      <c r="E5" s="27" t="s">
        <v>865</v>
      </c>
      <c r="F5" s="27" t="s">
        <v>866</v>
      </c>
      <c r="G5" s="26"/>
      <c r="H5" s="87" t="s">
        <v>2692</v>
      </c>
    </row>
    <row r="6" spans="2:9" s="25" customFormat="1" ht="16.5" thickBot="1">
      <c r="B6" s="40">
        <f t="shared" ref="B6:B74" si="0">B5+1</f>
        <v>2</v>
      </c>
      <c r="C6" s="27" t="s">
        <v>4307</v>
      </c>
      <c r="D6" s="29" t="s">
        <v>191</v>
      </c>
      <c r="E6" s="27" t="s">
        <v>865</v>
      </c>
      <c r="F6" s="27" t="s">
        <v>1728</v>
      </c>
      <c r="G6" s="26"/>
      <c r="H6" s="88" t="s">
        <v>3915</v>
      </c>
      <c r="I6" s="50" t="s">
        <v>2691</v>
      </c>
    </row>
    <row r="7" spans="2:9" s="25" customFormat="1" ht="32.25" thickBot="1">
      <c r="B7" s="40">
        <f t="shared" si="0"/>
        <v>3</v>
      </c>
      <c r="C7" s="27" t="s">
        <v>4307</v>
      </c>
      <c r="D7" s="29" t="s">
        <v>191</v>
      </c>
      <c r="E7" s="27" t="s">
        <v>865</v>
      </c>
      <c r="F7" s="27" t="s">
        <v>1333</v>
      </c>
      <c r="G7" s="27" t="s">
        <v>949</v>
      </c>
      <c r="H7" s="89" t="s">
        <v>2693</v>
      </c>
    </row>
    <row r="8" spans="2:9" s="25" customFormat="1" ht="32.25" thickBot="1">
      <c r="B8" s="40">
        <f t="shared" si="0"/>
        <v>4</v>
      </c>
      <c r="C8" s="27" t="s">
        <v>4307</v>
      </c>
      <c r="D8" s="29" t="s">
        <v>191</v>
      </c>
      <c r="E8" s="27" t="s">
        <v>865</v>
      </c>
      <c r="F8" s="27" t="s">
        <v>1333</v>
      </c>
      <c r="G8" s="27" t="s">
        <v>951</v>
      </c>
      <c r="H8" s="89" t="s">
        <v>2694</v>
      </c>
    </row>
    <row r="9" spans="2:9" s="25" customFormat="1" ht="16.5" thickBot="1">
      <c r="B9" s="40">
        <f t="shared" si="0"/>
        <v>5</v>
      </c>
      <c r="C9" s="27" t="s">
        <v>4307</v>
      </c>
      <c r="D9" s="29" t="s">
        <v>191</v>
      </c>
      <c r="E9" s="27" t="s">
        <v>865</v>
      </c>
      <c r="F9" s="27"/>
      <c r="G9" s="27" t="s">
        <v>3568</v>
      </c>
      <c r="H9" s="90" t="s">
        <v>3569</v>
      </c>
    </row>
    <row r="10" spans="2:9" s="25" customFormat="1" ht="16.5" thickBot="1">
      <c r="B10" s="40">
        <f t="shared" si="0"/>
        <v>6</v>
      </c>
      <c r="C10" s="27" t="s">
        <v>4307</v>
      </c>
      <c r="D10" s="29" t="s">
        <v>191</v>
      </c>
      <c r="E10" s="27" t="s">
        <v>865</v>
      </c>
      <c r="F10" s="27"/>
      <c r="G10" s="49" t="s">
        <v>3566</v>
      </c>
      <c r="H10" s="95" t="s">
        <v>3570</v>
      </c>
    </row>
    <row r="11" spans="2:9" s="25" customFormat="1" ht="16.5" thickBot="1">
      <c r="B11" s="40">
        <f t="shared" si="0"/>
        <v>7</v>
      </c>
      <c r="C11" s="27" t="s">
        <v>4307</v>
      </c>
      <c r="D11" s="29" t="s">
        <v>191</v>
      </c>
      <c r="E11" s="27" t="s">
        <v>865</v>
      </c>
      <c r="F11" s="27"/>
      <c r="G11" s="49" t="s">
        <v>3567</v>
      </c>
      <c r="H11" s="95" t="s">
        <v>3571</v>
      </c>
    </row>
    <row r="12" spans="2:9" s="25" customFormat="1" ht="32.25" thickBot="1">
      <c r="B12" s="40">
        <f t="shared" si="0"/>
        <v>8</v>
      </c>
      <c r="C12" s="27" t="s">
        <v>4307</v>
      </c>
      <c r="D12" s="29" t="s">
        <v>191</v>
      </c>
      <c r="E12" s="27" t="s">
        <v>865</v>
      </c>
      <c r="F12" s="27"/>
      <c r="G12" s="49" t="s">
        <v>3565</v>
      </c>
      <c r="H12" s="95" t="s">
        <v>3572</v>
      </c>
    </row>
    <row r="13" spans="2:9" s="25" customFormat="1" ht="32.25" thickBot="1">
      <c r="B13" s="40">
        <f t="shared" si="0"/>
        <v>9</v>
      </c>
      <c r="C13" s="27" t="s">
        <v>4307</v>
      </c>
      <c r="D13" s="29" t="s">
        <v>191</v>
      </c>
      <c r="E13" s="27" t="s">
        <v>865</v>
      </c>
      <c r="F13" s="27"/>
      <c r="G13" s="49" t="s">
        <v>3564</v>
      </c>
      <c r="H13" s="95" t="s">
        <v>3572</v>
      </c>
    </row>
    <row r="14" spans="2:9" s="25" customFormat="1" ht="9" customHeight="1" thickBot="1">
      <c r="B14" s="23">
        <f t="shared" si="0"/>
        <v>10</v>
      </c>
      <c r="C14" s="54"/>
      <c r="D14" s="54"/>
      <c r="E14" s="54"/>
      <c r="F14" s="54"/>
      <c r="G14" s="54"/>
      <c r="H14" s="91"/>
    </row>
    <row r="15" spans="2:9" s="25" customFormat="1" ht="9" customHeight="1" thickBot="1">
      <c r="B15" s="23">
        <f t="shared" si="0"/>
        <v>11</v>
      </c>
      <c r="C15" s="37"/>
      <c r="D15" s="37"/>
      <c r="E15" s="37"/>
      <c r="F15" s="37"/>
      <c r="G15" s="38"/>
      <c r="H15" s="96"/>
    </row>
    <row r="16" spans="2:9" s="25" customFormat="1" ht="16.5" thickBot="1">
      <c r="B16" s="40">
        <f t="shared" si="0"/>
        <v>12</v>
      </c>
      <c r="C16" s="27" t="s">
        <v>4307</v>
      </c>
      <c r="D16" s="29" t="s">
        <v>173</v>
      </c>
      <c r="E16" s="27" t="s">
        <v>865</v>
      </c>
      <c r="F16" s="27" t="s">
        <v>866</v>
      </c>
      <c r="G16" s="62"/>
      <c r="H16" s="88" t="s">
        <v>3916</v>
      </c>
    </row>
    <row r="17" spans="2:9" s="25" customFormat="1" ht="16.5" thickBot="1">
      <c r="B17" s="40">
        <f t="shared" si="0"/>
        <v>13</v>
      </c>
      <c r="C17" s="27" t="s">
        <v>4307</v>
      </c>
      <c r="D17" s="29" t="s">
        <v>173</v>
      </c>
      <c r="E17" s="27" t="s">
        <v>865</v>
      </c>
      <c r="F17" s="27" t="s">
        <v>1728</v>
      </c>
      <c r="G17" s="26"/>
      <c r="H17" s="88" t="s">
        <v>3917</v>
      </c>
      <c r="I17" s="50" t="s">
        <v>2695</v>
      </c>
    </row>
    <row r="18" spans="2:9" s="25" customFormat="1" ht="16.5" thickBot="1">
      <c r="B18" s="40">
        <f t="shared" si="0"/>
        <v>14</v>
      </c>
      <c r="C18" s="27" t="s">
        <v>4307</v>
      </c>
      <c r="D18" s="29" t="s">
        <v>173</v>
      </c>
      <c r="E18" s="27" t="s">
        <v>865</v>
      </c>
      <c r="F18" s="27" t="s">
        <v>1333</v>
      </c>
      <c r="G18" s="27" t="s">
        <v>2702</v>
      </c>
      <c r="H18" s="88" t="s">
        <v>2700</v>
      </c>
    </row>
    <row r="19" spans="2:9" s="25" customFormat="1" ht="16.5" thickBot="1">
      <c r="B19" s="40">
        <f t="shared" si="0"/>
        <v>15</v>
      </c>
      <c r="C19" s="27" t="s">
        <v>4307</v>
      </c>
      <c r="D19" s="29" t="s">
        <v>173</v>
      </c>
      <c r="E19" s="27" t="s">
        <v>865</v>
      </c>
      <c r="F19" s="27" t="s">
        <v>1333</v>
      </c>
      <c r="G19" s="27" t="s">
        <v>2701</v>
      </c>
      <c r="H19" s="88" t="s">
        <v>2700</v>
      </c>
    </row>
    <row r="20" spans="2:9" s="25" customFormat="1" ht="16.5" thickBot="1">
      <c r="B20" s="40">
        <f t="shared" si="0"/>
        <v>16</v>
      </c>
      <c r="C20" s="27" t="s">
        <v>4307</v>
      </c>
      <c r="D20" s="29" t="s">
        <v>173</v>
      </c>
      <c r="E20" s="27" t="s">
        <v>865</v>
      </c>
      <c r="F20" s="27" t="s">
        <v>1333</v>
      </c>
      <c r="G20" s="27" t="s">
        <v>969</v>
      </c>
      <c r="H20" s="88" t="s">
        <v>2699</v>
      </c>
    </row>
    <row r="21" spans="2:9" s="25" customFormat="1" ht="16.5" thickBot="1">
      <c r="B21" s="40">
        <f t="shared" si="0"/>
        <v>17</v>
      </c>
      <c r="C21" s="27" t="s">
        <v>4307</v>
      </c>
      <c r="D21" s="29" t="s">
        <v>173</v>
      </c>
      <c r="E21" s="27" t="s">
        <v>865</v>
      </c>
      <c r="F21" s="27" t="s">
        <v>1333</v>
      </c>
      <c r="G21" s="27" t="s">
        <v>2698</v>
      </c>
      <c r="H21" s="88" t="s">
        <v>2697</v>
      </c>
    </row>
    <row r="22" spans="2:9" s="25" customFormat="1" ht="16.5" thickBot="1">
      <c r="B22" s="40">
        <f t="shared" si="0"/>
        <v>18</v>
      </c>
      <c r="C22" s="27" t="s">
        <v>4307</v>
      </c>
      <c r="D22" s="29" t="s">
        <v>173</v>
      </c>
      <c r="E22" s="27" t="s">
        <v>865</v>
      </c>
      <c r="F22" s="27" t="s">
        <v>1333</v>
      </c>
      <c r="G22" s="27" t="s">
        <v>2651</v>
      </c>
      <c r="H22" s="88" t="s">
        <v>2696</v>
      </c>
    </row>
    <row r="23" spans="2:9" s="25" customFormat="1" ht="16.5" thickBot="1">
      <c r="B23" s="40">
        <f t="shared" si="0"/>
        <v>19</v>
      </c>
      <c r="C23" s="27" t="s">
        <v>4307</v>
      </c>
      <c r="D23" s="29" t="s">
        <v>173</v>
      </c>
      <c r="E23" s="27" t="s">
        <v>865</v>
      </c>
      <c r="F23" s="27" t="s">
        <v>1333</v>
      </c>
      <c r="G23" s="27" t="s">
        <v>2653</v>
      </c>
      <c r="H23" s="88" t="s">
        <v>2696</v>
      </c>
    </row>
    <row r="24" spans="2:9" s="25" customFormat="1" ht="16.5" thickBot="1">
      <c r="B24" s="40">
        <f t="shared" si="0"/>
        <v>20</v>
      </c>
      <c r="C24" s="27" t="s">
        <v>4307</v>
      </c>
      <c r="D24" s="29" t="s">
        <v>173</v>
      </c>
      <c r="E24" s="27" t="s">
        <v>865</v>
      </c>
      <c r="F24" s="27" t="s">
        <v>878</v>
      </c>
      <c r="G24" s="27"/>
      <c r="H24" s="88" t="s">
        <v>3559</v>
      </c>
    </row>
    <row r="25" spans="2:9" s="25" customFormat="1" ht="16.5" thickBot="1">
      <c r="B25" s="40">
        <f t="shared" si="0"/>
        <v>21</v>
      </c>
      <c r="C25" s="27" t="s">
        <v>4307</v>
      </c>
      <c r="D25" s="29" t="s">
        <v>173</v>
      </c>
      <c r="E25" s="27" t="s">
        <v>865</v>
      </c>
      <c r="F25" s="27"/>
      <c r="G25" s="27" t="s">
        <v>3563</v>
      </c>
      <c r="H25" s="88" t="s">
        <v>3918</v>
      </c>
    </row>
    <row r="26" spans="2:9" s="25" customFormat="1" ht="9" customHeight="1" thickBot="1">
      <c r="B26" s="56">
        <f t="shared" si="0"/>
        <v>22</v>
      </c>
      <c r="C26" s="57"/>
      <c r="D26" s="57"/>
      <c r="E26" s="57"/>
      <c r="F26" s="57"/>
      <c r="G26" s="57"/>
      <c r="H26" s="94"/>
    </row>
    <row r="27" spans="2:9" s="25" customFormat="1" ht="9" customHeight="1" thickBot="1">
      <c r="B27" s="23">
        <f t="shared" si="0"/>
        <v>23</v>
      </c>
      <c r="C27" s="37"/>
      <c r="D27" s="37"/>
      <c r="E27" s="37"/>
      <c r="F27" s="37"/>
      <c r="G27" s="38"/>
      <c r="H27" s="94"/>
    </row>
    <row r="28" spans="2:9" s="25" customFormat="1" ht="16.5" thickBot="1">
      <c r="B28" s="40">
        <f t="shared" si="0"/>
        <v>24</v>
      </c>
      <c r="C28" s="27" t="s">
        <v>4307</v>
      </c>
      <c r="D28" s="29" t="s">
        <v>257</v>
      </c>
      <c r="E28" s="27" t="s">
        <v>865</v>
      </c>
      <c r="F28" s="27" t="s">
        <v>866</v>
      </c>
      <c r="G28" s="26"/>
      <c r="H28" s="88" t="s">
        <v>2704</v>
      </c>
    </row>
    <row r="29" spans="2:9" s="25" customFormat="1" ht="16.5" thickBot="1">
      <c r="B29" s="40">
        <f t="shared" si="0"/>
        <v>25</v>
      </c>
      <c r="C29" s="27" t="s">
        <v>4307</v>
      </c>
      <c r="D29" s="29" t="s">
        <v>257</v>
      </c>
      <c r="E29" s="27" t="s">
        <v>865</v>
      </c>
      <c r="F29" s="27" t="s">
        <v>1728</v>
      </c>
      <c r="G29" s="26"/>
      <c r="H29" s="88" t="s">
        <v>3919</v>
      </c>
      <c r="I29" s="50" t="s">
        <v>2703</v>
      </c>
    </row>
    <row r="30" spans="2:9" s="25" customFormat="1" ht="16.5" thickBot="1">
      <c r="B30" s="40">
        <f>B28+1</f>
        <v>25</v>
      </c>
      <c r="C30" s="27" t="s">
        <v>4307</v>
      </c>
      <c r="D30" s="29" t="s">
        <v>257</v>
      </c>
      <c r="E30" s="27" t="s">
        <v>865</v>
      </c>
      <c r="F30" s="27" t="s">
        <v>1333</v>
      </c>
      <c r="G30" s="27" t="s">
        <v>949</v>
      </c>
      <c r="H30" s="88" t="s">
        <v>3920</v>
      </c>
      <c r="I30" s="50"/>
    </row>
    <row r="31" spans="2:9" s="25" customFormat="1" ht="16.5" thickBot="1">
      <c r="B31" s="40">
        <f>B29+1</f>
        <v>26</v>
      </c>
      <c r="C31" s="27" t="s">
        <v>4307</v>
      </c>
      <c r="D31" s="29" t="s">
        <v>257</v>
      </c>
      <c r="E31" s="27" t="s">
        <v>865</v>
      </c>
      <c r="F31" s="27" t="s">
        <v>1333</v>
      </c>
      <c r="G31" s="27" t="s">
        <v>989</v>
      </c>
      <c r="H31" s="88" t="s">
        <v>2705</v>
      </c>
    </row>
    <row r="32" spans="2:9" s="25" customFormat="1" ht="16.5" thickBot="1">
      <c r="B32" s="40">
        <f t="shared" si="0"/>
        <v>27</v>
      </c>
      <c r="C32" s="27" t="s">
        <v>4307</v>
      </c>
      <c r="D32" s="29" t="s">
        <v>257</v>
      </c>
      <c r="E32" s="27" t="s">
        <v>865</v>
      </c>
      <c r="F32" s="27" t="s">
        <v>1333</v>
      </c>
      <c r="G32" s="27" t="s">
        <v>992</v>
      </c>
      <c r="H32" s="88" t="s">
        <v>2706</v>
      </c>
    </row>
    <row r="33" spans="2:9" s="25" customFormat="1" ht="16.5" thickBot="1">
      <c r="B33" s="40">
        <f t="shared" si="0"/>
        <v>28</v>
      </c>
      <c r="C33" s="27" t="s">
        <v>4307</v>
      </c>
      <c r="D33" s="29" t="s">
        <v>257</v>
      </c>
      <c r="E33" s="27" t="s">
        <v>865</v>
      </c>
      <c r="F33" s="27" t="s">
        <v>1333</v>
      </c>
      <c r="G33" s="27" t="s">
        <v>923</v>
      </c>
      <c r="H33" s="88" t="s">
        <v>2706</v>
      </c>
    </row>
    <row r="34" spans="2:9" s="25" customFormat="1" ht="16.5" thickBot="1">
      <c r="B34" s="40">
        <f t="shared" si="0"/>
        <v>29</v>
      </c>
      <c r="C34" s="27" t="s">
        <v>4307</v>
      </c>
      <c r="D34" s="29" t="s">
        <v>257</v>
      </c>
      <c r="E34" s="27" t="s">
        <v>880</v>
      </c>
      <c r="F34" s="27" t="s">
        <v>1765</v>
      </c>
      <c r="G34" s="49" t="s">
        <v>3560</v>
      </c>
      <c r="H34" s="101" t="s">
        <v>3573</v>
      </c>
    </row>
    <row r="35" spans="2:9" s="25" customFormat="1" ht="16.5" thickBot="1">
      <c r="B35" s="40">
        <f t="shared" si="0"/>
        <v>30</v>
      </c>
      <c r="C35" s="27" t="s">
        <v>4307</v>
      </c>
      <c r="D35" s="29" t="s">
        <v>257</v>
      </c>
      <c r="E35" s="27" t="s">
        <v>865</v>
      </c>
      <c r="F35" s="27"/>
      <c r="G35" s="49" t="s">
        <v>3574</v>
      </c>
      <c r="H35" s="103" t="s">
        <v>3575</v>
      </c>
    </row>
    <row r="36" spans="2:9" s="25" customFormat="1" ht="9" customHeight="1" thickBot="1">
      <c r="B36" s="23">
        <f t="shared" si="0"/>
        <v>31</v>
      </c>
      <c r="C36" s="43"/>
      <c r="D36" s="43"/>
      <c r="E36" s="43"/>
      <c r="F36" s="43"/>
      <c r="G36" s="43"/>
      <c r="H36" s="96"/>
    </row>
    <row r="37" spans="2:9" s="25" customFormat="1" ht="9" customHeight="1" thickBot="1">
      <c r="B37" s="23">
        <f t="shared" si="0"/>
        <v>32</v>
      </c>
      <c r="C37" s="37"/>
      <c r="D37" s="37"/>
      <c r="E37" s="37"/>
      <c r="F37" s="37"/>
      <c r="G37" s="38"/>
      <c r="H37" s="94"/>
    </row>
    <row r="38" spans="2:9" s="25" customFormat="1" ht="16.5" thickBot="1">
      <c r="B38" s="40">
        <f t="shared" si="0"/>
        <v>33</v>
      </c>
      <c r="C38" s="27" t="s">
        <v>4307</v>
      </c>
      <c r="D38" s="69" t="s">
        <v>238</v>
      </c>
      <c r="E38" s="27"/>
      <c r="F38" s="27" t="s">
        <v>866</v>
      </c>
      <c r="G38" s="26"/>
      <c r="H38" s="88"/>
    </row>
    <row r="39" spans="2:9" s="25" customFormat="1" ht="16.5" thickBot="1">
      <c r="B39" s="40">
        <f t="shared" si="0"/>
        <v>34</v>
      </c>
      <c r="C39" s="27" t="s">
        <v>4307</v>
      </c>
      <c r="D39" s="69" t="s">
        <v>238</v>
      </c>
      <c r="E39" s="27"/>
      <c r="F39" s="27" t="s">
        <v>1728</v>
      </c>
      <c r="G39" s="26"/>
      <c r="H39" s="89"/>
      <c r="I39" s="50"/>
    </row>
    <row r="40" spans="2:9" s="25" customFormat="1" ht="16.5" thickBot="1">
      <c r="B40" s="40">
        <f t="shared" si="0"/>
        <v>35</v>
      </c>
      <c r="C40" s="27" t="s">
        <v>4307</v>
      </c>
      <c r="D40" s="69" t="s">
        <v>238</v>
      </c>
      <c r="E40" s="27"/>
      <c r="F40" s="27" t="s">
        <v>1333</v>
      </c>
      <c r="G40" s="27"/>
      <c r="H40" s="89"/>
    </row>
    <row r="41" spans="2:9" s="25" customFormat="1" ht="16.5" thickBot="1">
      <c r="B41" s="40">
        <f t="shared" si="0"/>
        <v>36</v>
      </c>
      <c r="C41" s="27" t="s">
        <v>4307</v>
      </c>
      <c r="D41" s="69" t="s">
        <v>238</v>
      </c>
      <c r="E41" s="27"/>
      <c r="F41" s="27" t="s">
        <v>1333</v>
      </c>
      <c r="G41" s="27"/>
      <c r="H41" s="89"/>
    </row>
    <row r="42" spans="2:9" s="25" customFormat="1" ht="16.5" thickBot="1">
      <c r="B42" s="40">
        <f t="shared" si="0"/>
        <v>37</v>
      </c>
      <c r="C42" s="27" t="s">
        <v>4307</v>
      </c>
      <c r="D42" s="69" t="s">
        <v>238</v>
      </c>
      <c r="E42" s="27"/>
      <c r="F42" s="27" t="s">
        <v>1333</v>
      </c>
      <c r="G42" s="27"/>
      <c r="H42" s="89"/>
    </row>
    <row r="43" spans="2:9" s="25" customFormat="1" ht="16.5" thickBot="1">
      <c r="B43" s="40">
        <f t="shared" si="0"/>
        <v>38</v>
      </c>
      <c r="C43" s="27" t="s">
        <v>4307</v>
      </c>
      <c r="D43" s="69" t="s">
        <v>238</v>
      </c>
      <c r="E43" s="27"/>
      <c r="F43" s="27"/>
      <c r="G43" s="27"/>
      <c r="H43" s="89"/>
    </row>
    <row r="44" spans="2:9" s="25" customFormat="1" ht="9" customHeight="1" thickBot="1">
      <c r="B44" s="23">
        <f t="shared" si="0"/>
        <v>39</v>
      </c>
      <c r="C44" s="43"/>
      <c r="D44" s="43"/>
      <c r="E44" s="43"/>
      <c r="F44" s="43"/>
      <c r="G44" s="43"/>
      <c r="H44" s="94"/>
    </row>
    <row r="45" spans="2:9" s="25" customFormat="1" ht="9" customHeight="1" thickBot="1">
      <c r="B45" s="23">
        <f t="shared" si="0"/>
        <v>40</v>
      </c>
      <c r="C45" s="37"/>
      <c r="D45" s="37"/>
      <c r="E45" s="37"/>
      <c r="F45" s="37"/>
      <c r="G45" s="38"/>
      <c r="H45" s="94"/>
    </row>
    <row r="46" spans="2:9" s="25" customFormat="1" ht="16.5" thickBot="1">
      <c r="B46" s="40">
        <f t="shared" si="0"/>
        <v>41</v>
      </c>
      <c r="C46" s="27" t="s">
        <v>4307</v>
      </c>
      <c r="D46" s="29" t="s">
        <v>258</v>
      </c>
      <c r="E46" s="27" t="s">
        <v>865</v>
      </c>
      <c r="F46" s="27" t="s">
        <v>866</v>
      </c>
      <c r="G46" s="26"/>
      <c r="H46" s="88" t="s">
        <v>2707</v>
      </c>
    </row>
    <row r="47" spans="2:9" s="25" customFormat="1" ht="16.5" thickBot="1">
      <c r="B47" s="40">
        <f t="shared" si="0"/>
        <v>42</v>
      </c>
      <c r="C47" s="27" t="s">
        <v>4307</v>
      </c>
      <c r="D47" s="29" t="s">
        <v>258</v>
      </c>
      <c r="E47" s="27" t="s">
        <v>865</v>
      </c>
      <c r="F47" s="27" t="s">
        <v>1728</v>
      </c>
      <c r="G47" s="26"/>
      <c r="H47" s="88" t="s">
        <v>3921</v>
      </c>
      <c r="I47" s="50"/>
    </row>
    <row r="48" spans="2:9" s="25" customFormat="1" ht="16.5" thickBot="1">
      <c r="B48" s="40">
        <f t="shared" si="0"/>
        <v>43</v>
      </c>
      <c r="C48" s="27" t="s">
        <v>4307</v>
      </c>
      <c r="D48" s="29" t="s">
        <v>258</v>
      </c>
      <c r="E48" s="27" t="s">
        <v>865</v>
      </c>
      <c r="F48" s="27" t="s">
        <v>1333</v>
      </c>
      <c r="G48" s="27" t="s">
        <v>870</v>
      </c>
      <c r="H48" s="89" t="s">
        <v>2708</v>
      </c>
    </row>
    <row r="49" spans="2:9" s="25" customFormat="1" ht="16.5" thickBot="1">
      <c r="B49" s="40">
        <f t="shared" si="0"/>
        <v>44</v>
      </c>
      <c r="C49" s="27" t="s">
        <v>4307</v>
      </c>
      <c r="D49" s="29" t="s">
        <v>258</v>
      </c>
      <c r="E49" s="27" t="s">
        <v>865</v>
      </c>
      <c r="F49" s="27" t="s">
        <v>1333</v>
      </c>
      <c r="G49" s="27" t="s">
        <v>874</v>
      </c>
      <c r="H49" s="89" t="s">
        <v>2709</v>
      </c>
    </row>
    <row r="50" spans="2:9" s="25" customFormat="1" ht="32.25" thickBot="1">
      <c r="B50" s="40">
        <f t="shared" si="0"/>
        <v>45</v>
      </c>
      <c r="C50" s="27" t="s">
        <v>4307</v>
      </c>
      <c r="D50" s="29" t="s">
        <v>258</v>
      </c>
      <c r="E50" s="27" t="s">
        <v>865</v>
      </c>
      <c r="F50" s="27" t="s">
        <v>878</v>
      </c>
      <c r="G50" s="49"/>
      <c r="H50" s="90" t="s">
        <v>3922</v>
      </c>
    </row>
    <row r="51" spans="2:9" s="25" customFormat="1" ht="9" customHeight="1" thickBot="1">
      <c r="B51" s="23">
        <f t="shared" si="0"/>
        <v>46</v>
      </c>
      <c r="C51" s="43"/>
      <c r="D51" s="43"/>
      <c r="E51" s="43"/>
      <c r="F51" s="43"/>
      <c r="G51" s="43"/>
      <c r="H51" s="96"/>
    </row>
    <row r="52" spans="2:9" s="25" customFormat="1" ht="9" customHeight="1" thickBot="1">
      <c r="B52" s="23">
        <f t="shared" si="0"/>
        <v>47</v>
      </c>
      <c r="C52" s="37"/>
      <c r="D52" s="37"/>
      <c r="E52" s="37"/>
      <c r="F52" s="37"/>
      <c r="G52" s="38"/>
      <c r="H52" s="94"/>
    </row>
    <row r="53" spans="2:9" s="25" customFormat="1" ht="16.5" thickBot="1">
      <c r="B53" s="40">
        <f t="shared" si="0"/>
        <v>48</v>
      </c>
      <c r="C53" s="27" t="s">
        <v>4307</v>
      </c>
      <c r="D53" s="29" t="s">
        <v>259</v>
      </c>
      <c r="E53" s="27" t="s">
        <v>865</v>
      </c>
      <c r="F53" s="27" t="s">
        <v>866</v>
      </c>
      <c r="G53" s="26"/>
      <c r="H53" s="88" t="s">
        <v>2711</v>
      </c>
    </row>
    <row r="54" spans="2:9" s="25" customFormat="1" ht="16.5" thickBot="1">
      <c r="B54" s="40">
        <f t="shared" si="0"/>
        <v>49</v>
      </c>
      <c r="C54" s="27" t="s">
        <v>4307</v>
      </c>
      <c r="D54" s="29" t="s">
        <v>259</v>
      </c>
      <c r="E54" s="27" t="s">
        <v>865</v>
      </c>
      <c r="F54" s="27" t="s">
        <v>1728</v>
      </c>
      <c r="G54" s="26"/>
      <c r="H54" s="88" t="s">
        <v>3923</v>
      </c>
      <c r="I54" s="50" t="s">
        <v>2710</v>
      </c>
    </row>
    <row r="55" spans="2:9" s="25" customFormat="1" ht="16.5" thickBot="1">
      <c r="B55" s="40">
        <f t="shared" si="0"/>
        <v>50</v>
      </c>
      <c r="C55" s="27" t="s">
        <v>4307</v>
      </c>
      <c r="D55" s="29" t="s">
        <v>259</v>
      </c>
      <c r="E55" s="27" t="s">
        <v>865</v>
      </c>
      <c r="F55" s="27" t="s">
        <v>1333</v>
      </c>
      <c r="G55" s="27" t="s">
        <v>870</v>
      </c>
      <c r="H55" s="89" t="s">
        <v>2712</v>
      </c>
    </row>
    <row r="56" spans="2:9" s="25" customFormat="1" ht="16.5" thickBot="1">
      <c r="B56" s="40">
        <f t="shared" si="0"/>
        <v>51</v>
      </c>
      <c r="C56" s="27" t="s">
        <v>4307</v>
      </c>
      <c r="D56" s="29" t="s">
        <v>259</v>
      </c>
      <c r="E56" s="27" t="s">
        <v>865</v>
      </c>
      <c r="F56" s="27" t="s">
        <v>1333</v>
      </c>
      <c r="G56" s="27" t="s">
        <v>874</v>
      </c>
      <c r="H56" s="89" t="s">
        <v>2713</v>
      </c>
    </row>
    <row r="57" spans="2:9" s="25" customFormat="1" ht="9" customHeight="1" thickBot="1">
      <c r="B57" s="23">
        <f t="shared" si="0"/>
        <v>52</v>
      </c>
      <c r="C57" s="43"/>
      <c r="D57" s="43"/>
      <c r="E57" s="43"/>
      <c r="F57" s="43"/>
      <c r="G57" s="43"/>
      <c r="H57" s="94"/>
    </row>
    <row r="58" spans="2:9" s="25" customFormat="1" ht="9" customHeight="1" thickBot="1">
      <c r="B58" s="23">
        <f t="shared" si="0"/>
        <v>53</v>
      </c>
      <c r="C58" s="37"/>
      <c r="D58" s="37"/>
      <c r="E58" s="37"/>
      <c r="F58" s="37"/>
      <c r="G58" s="38"/>
      <c r="H58" s="94"/>
    </row>
    <row r="59" spans="2:9" s="25" customFormat="1" ht="16.5" thickBot="1">
      <c r="B59" s="40">
        <f t="shared" si="0"/>
        <v>54</v>
      </c>
      <c r="C59" s="27" t="s">
        <v>4307</v>
      </c>
      <c r="D59" s="69" t="s">
        <v>252</v>
      </c>
      <c r="E59" s="27"/>
      <c r="F59" s="27" t="s">
        <v>866</v>
      </c>
      <c r="G59" s="26"/>
      <c r="H59" s="88"/>
    </row>
    <row r="60" spans="2:9" s="25" customFormat="1" ht="16.5" thickBot="1">
      <c r="B60" s="40">
        <f t="shared" si="0"/>
        <v>55</v>
      </c>
      <c r="C60" s="27" t="s">
        <v>4307</v>
      </c>
      <c r="D60" s="69" t="s">
        <v>252</v>
      </c>
      <c r="E60" s="27"/>
      <c r="F60" s="27" t="s">
        <v>1728</v>
      </c>
      <c r="G60" s="26"/>
      <c r="H60" s="88"/>
      <c r="I60" s="50"/>
    </row>
    <row r="61" spans="2:9" s="25" customFormat="1" ht="16.5" thickBot="1">
      <c r="B61" s="40">
        <f t="shared" si="0"/>
        <v>56</v>
      </c>
      <c r="C61" s="27" t="s">
        <v>4307</v>
      </c>
      <c r="D61" s="69" t="s">
        <v>252</v>
      </c>
      <c r="E61" s="27"/>
      <c r="F61" s="27" t="s">
        <v>1333</v>
      </c>
      <c r="G61" s="27"/>
      <c r="H61" s="89"/>
    </row>
    <row r="62" spans="2:9" s="25" customFormat="1" ht="16.5" thickBot="1">
      <c r="B62" s="40">
        <f t="shared" si="0"/>
        <v>57</v>
      </c>
      <c r="C62" s="27" t="s">
        <v>4307</v>
      </c>
      <c r="D62" s="69" t="s">
        <v>252</v>
      </c>
      <c r="E62" s="27"/>
      <c r="F62" s="27" t="s">
        <v>1333</v>
      </c>
      <c r="G62" s="27"/>
      <c r="H62" s="89"/>
    </row>
    <row r="63" spans="2:9" s="25" customFormat="1" ht="16.5" thickBot="1">
      <c r="B63" s="40">
        <f t="shared" si="0"/>
        <v>58</v>
      </c>
      <c r="C63" s="27" t="s">
        <v>4307</v>
      </c>
      <c r="D63" s="69" t="s">
        <v>252</v>
      </c>
      <c r="E63" s="27"/>
      <c r="F63" s="27" t="s">
        <v>1333</v>
      </c>
      <c r="G63" s="27"/>
      <c r="H63" s="89"/>
    </row>
    <row r="64" spans="2:9" s="25" customFormat="1" ht="9" customHeight="1" thickBot="1">
      <c r="B64" s="23">
        <f t="shared" si="0"/>
        <v>59</v>
      </c>
      <c r="C64" s="43"/>
      <c r="D64" s="43"/>
      <c r="E64" s="43"/>
      <c r="F64" s="43"/>
      <c r="G64" s="43"/>
      <c r="H64" s="94"/>
    </row>
    <row r="65" spans="2:9" s="25" customFormat="1" ht="9" customHeight="1" thickBot="1">
      <c r="B65" s="23">
        <f t="shared" si="0"/>
        <v>60</v>
      </c>
      <c r="C65" s="37"/>
      <c r="D65" s="37"/>
      <c r="E65" s="37"/>
      <c r="F65" s="37"/>
      <c r="G65" s="38"/>
      <c r="H65" s="94"/>
    </row>
    <row r="66" spans="2:9" s="25" customFormat="1" ht="16.5" thickBot="1">
      <c r="B66" s="40">
        <f t="shared" si="0"/>
        <v>61</v>
      </c>
      <c r="C66" s="27" t="s">
        <v>4307</v>
      </c>
      <c r="D66" s="29" t="s">
        <v>260</v>
      </c>
      <c r="E66" s="27" t="s">
        <v>865</v>
      </c>
      <c r="F66" s="27" t="s">
        <v>866</v>
      </c>
      <c r="G66" s="26"/>
      <c r="H66" s="88" t="s">
        <v>3924</v>
      </c>
    </row>
    <row r="67" spans="2:9" s="25" customFormat="1" ht="16.5" thickBot="1">
      <c r="B67" s="40">
        <f t="shared" si="0"/>
        <v>62</v>
      </c>
      <c r="C67" s="27" t="s">
        <v>4307</v>
      </c>
      <c r="D67" s="29" t="s">
        <v>260</v>
      </c>
      <c r="E67" s="27" t="s">
        <v>865</v>
      </c>
      <c r="F67" s="27" t="s">
        <v>1728</v>
      </c>
      <c r="G67" s="26"/>
      <c r="H67" s="88" t="s">
        <v>3925</v>
      </c>
      <c r="I67" s="50" t="s">
        <v>2714</v>
      </c>
    </row>
    <row r="68" spans="2:9" s="25" customFormat="1" ht="16.5" thickBot="1">
      <c r="B68" s="40">
        <f t="shared" si="0"/>
        <v>63</v>
      </c>
      <c r="C68" s="27" t="s">
        <v>4307</v>
      </c>
      <c r="D68" s="29" t="s">
        <v>260</v>
      </c>
      <c r="E68" s="27" t="s">
        <v>865</v>
      </c>
      <c r="F68" s="27" t="s">
        <v>1333</v>
      </c>
      <c r="G68" s="27" t="s">
        <v>870</v>
      </c>
      <c r="H68" s="89" t="s">
        <v>2715</v>
      </c>
    </row>
    <row r="69" spans="2:9" s="25" customFormat="1" ht="16.5" thickBot="1">
      <c r="B69" s="40">
        <f t="shared" si="0"/>
        <v>64</v>
      </c>
      <c r="C69" s="27" t="s">
        <v>4307</v>
      </c>
      <c r="D69" s="29" t="s">
        <v>260</v>
      </c>
      <c r="E69" s="27" t="s">
        <v>865</v>
      </c>
      <c r="F69" s="27" t="s">
        <v>1333</v>
      </c>
      <c r="G69" s="27" t="s">
        <v>874</v>
      </c>
      <c r="H69" s="89" t="s">
        <v>2716</v>
      </c>
    </row>
    <row r="70" spans="2:9" s="25" customFormat="1" ht="32.25" thickBot="1">
      <c r="B70" s="40">
        <f t="shared" si="0"/>
        <v>65</v>
      </c>
      <c r="C70" s="27" t="s">
        <v>4307</v>
      </c>
      <c r="D70" s="29" t="s">
        <v>260</v>
      </c>
      <c r="E70" s="27" t="s">
        <v>865</v>
      </c>
      <c r="F70" s="27" t="s">
        <v>878</v>
      </c>
      <c r="G70" s="27"/>
      <c r="H70" s="89" t="s">
        <v>3926</v>
      </c>
    </row>
    <row r="71" spans="2:9" s="25" customFormat="1" ht="9" customHeight="1" thickBot="1">
      <c r="B71" s="23">
        <f t="shared" si="0"/>
        <v>66</v>
      </c>
      <c r="C71" s="43"/>
      <c r="D71" s="43"/>
      <c r="E71" s="43"/>
      <c r="F71" s="43"/>
      <c r="G71" s="43"/>
      <c r="H71" s="94"/>
    </row>
    <row r="72" spans="2:9" s="25" customFormat="1" ht="9" customHeight="1" thickBot="1">
      <c r="B72" s="23">
        <f t="shared" si="0"/>
        <v>67</v>
      </c>
      <c r="C72" s="37"/>
      <c r="D72" s="37"/>
      <c r="E72" s="37"/>
      <c r="F72" s="37"/>
      <c r="G72" s="38"/>
      <c r="H72" s="94"/>
    </row>
    <row r="73" spans="2:9" s="25" customFormat="1" ht="32.25" thickBot="1">
      <c r="B73" s="40">
        <f t="shared" si="0"/>
        <v>68</v>
      </c>
      <c r="C73" s="27" t="s">
        <v>4307</v>
      </c>
      <c r="D73" s="29" t="s">
        <v>261</v>
      </c>
      <c r="E73" s="27" t="s">
        <v>865</v>
      </c>
      <c r="F73" s="27" t="s">
        <v>866</v>
      </c>
      <c r="G73" s="26"/>
      <c r="H73" s="89" t="s">
        <v>3927</v>
      </c>
    </row>
    <row r="74" spans="2:9" s="25" customFormat="1" ht="16.5" thickBot="1">
      <c r="B74" s="40">
        <f t="shared" si="0"/>
        <v>69</v>
      </c>
      <c r="C74" s="27" t="s">
        <v>4307</v>
      </c>
      <c r="D74" s="29" t="s">
        <v>261</v>
      </c>
      <c r="E74" s="27" t="s">
        <v>865</v>
      </c>
      <c r="F74" s="27" t="s">
        <v>1728</v>
      </c>
      <c r="G74" s="26"/>
      <c r="H74" s="88" t="s">
        <v>3928</v>
      </c>
      <c r="I74" s="50" t="s">
        <v>2717</v>
      </c>
    </row>
    <row r="75" spans="2:9" s="25" customFormat="1" ht="16.5" thickBot="1">
      <c r="B75" s="40">
        <f t="shared" ref="B75:B108" si="1">B74+1</f>
        <v>70</v>
      </c>
      <c r="C75" s="27" t="s">
        <v>4307</v>
      </c>
      <c r="D75" s="29" t="s">
        <v>261</v>
      </c>
      <c r="E75" s="27" t="s">
        <v>865</v>
      </c>
      <c r="F75" s="27" t="s">
        <v>1333</v>
      </c>
      <c r="G75" s="27" t="s">
        <v>870</v>
      </c>
      <c r="H75" s="89" t="s">
        <v>2718</v>
      </c>
    </row>
    <row r="76" spans="2:9" s="25" customFormat="1" ht="16.5" thickBot="1">
      <c r="B76" s="40">
        <f t="shared" si="1"/>
        <v>71</v>
      </c>
      <c r="C76" s="27" t="s">
        <v>4307</v>
      </c>
      <c r="D76" s="29" t="s">
        <v>261</v>
      </c>
      <c r="E76" s="27" t="s">
        <v>865</v>
      </c>
      <c r="F76" s="27" t="s">
        <v>1333</v>
      </c>
      <c r="G76" s="27" t="s">
        <v>874</v>
      </c>
      <c r="H76" s="89" t="s">
        <v>2719</v>
      </c>
    </row>
    <row r="77" spans="2:9" s="25" customFormat="1" ht="9" customHeight="1" thickBot="1">
      <c r="B77" s="23">
        <f t="shared" si="1"/>
        <v>72</v>
      </c>
      <c r="C77" s="43"/>
      <c r="D77" s="43"/>
      <c r="E77" s="43"/>
      <c r="F77" s="43"/>
      <c r="G77" s="43"/>
      <c r="H77" s="94"/>
    </row>
    <row r="78" spans="2:9" s="25" customFormat="1" ht="9" customHeight="1" thickBot="1">
      <c r="B78" s="23">
        <f t="shared" si="1"/>
        <v>73</v>
      </c>
      <c r="C78" s="37"/>
      <c r="D78" s="37"/>
      <c r="E78" s="37"/>
      <c r="F78" s="37"/>
      <c r="G78" s="38"/>
      <c r="H78" s="94"/>
    </row>
    <row r="79" spans="2:9" s="25" customFormat="1" ht="16.5" thickBot="1">
      <c r="B79" s="40">
        <f t="shared" si="1"/>
        <v>74</v>
      </c>
      <c r="C79" s="27" t="s">
        <v>4307</v>
      </c>
      <c r="D79" s="69" t="s">
        <v>176</v>
      </c>
      <c r="E79" s="27"/>
      <c r="F79" s="27" t="s">
        <v>866</v>
      </c>
      <c r="G79" s="26"/>
      <c r="H79" s="88"/>
    </row>
    <row r="80" spans="2:9" s="25" customFormat="1" ht="16.5" thickBot="1">
      <c r="B80" s="40">
        <f t="shared" si="1"/>
        <v>75</v>
      </c>
      <c r="C80" s="27" t="s">
        <v>4307</v>
      </c>
      <c r="D80" s="69" t="s">
        <v>176</v>
      </c>
      <c r="E80" s="27"/>
      <c r="F80" s="27" t="s">
        <v>1728</v>
      </c>
      <c r="G80" s="26"/>
      <c r="H80" s="88"/>
      <c r="I80" s="50"/>
    </row>
    <row r="81" spans="2:9" s="25" customFormat="1" ht="16.5" thickBot="1">
      <c r="B81" s="40">
        <f t="shared" si="1"/>
        <v>76</v>
      </c>
      <c r="C81" s="27" t="s">
        <v>4307</v>
      </c>
      <c r="D81" s="69" t="s">
        <v>176</v>
      </c>
      <c r="E81" s="27"/>
      <c r="F81" s="27" t="s">
        <v>1333</v>
      </c>
      <c r="G81" s="27"/>
      <c r="H81" s="89"/>
    </row>
    <row r="82" spans="2:9" s="25" customFormat="1" ht="16.5" thickBot="1">
      <c r="B82" s="40">
        <f t="shared" si="1"/>
        <v>77</v>
      </c>
      <c r="C82" s="27" t="s">
        <v>4307</v>
      </c>
      <c r="D82" s="69" t="s">
        <v>176</v>
      </c>
      <c r="E82" s="27"/>
      <c r="F82" s="27" t="s">
        <v>1333</v>
      </c>
      <c r="G82" s="27"/>
      <c r="H82" s="89"/>
    </row>
    <row r="83" spans="2:9" s="25" customFormat="1" ht="16.5" thickBot="1">
      <c r="B83" s="40">
        <f t="shared" si="1"/>
        <v>78</v>
      </c>
      <c r="C83" s="27" t="s">
        <v>4307</v>
      </c>
      <c r="D83" s="69" t="s">
        <v>176</v>
      </c>
      <c r="E83" s="27"/>
      <c r="F83" s="27"/>
      <c r="G83" s="27"/>
      <c r="H83" s="89"/>
    </row>
    <row r="84" spans="2:9" s="25" customFormat="1" ht="16.5" thickBot="1">
      <c r="B84" s="40">
        <f t="shared" si="1"/>
        <v>79</v>
      </c>
      <c r="C84" s="27" t="s">
        <v>4307</v>
      </c>
      <c r="D84" s="69" t="s">
        <v>176</v>
      </c>
      <c r="E84" s="27"/>
      <c r="F84" s="27"/>
      <c r="G84" s="27"/>
      <c r="H84" s="89"/>
    </row>
    <row r="85" spans="2:9" s="25" customFormat="1" ht="9" customHeight="1" thickBot="1">
      <c r="B85" s="23">
        <f t="shared" si="1"/>
        <v>80</v>
      </c>
      <c r="C85" s="43"/>
      <c r="D85" s="43"/>
      <c r="E85" s="43"/>
      <c r="F85" s="43"/>
      <c r="G85" s="43"/>
      <c r="H85" s="94"/>
    </row>
    <row r="86" spans="2:9" s="25" customFormat="1" ht="9" customHeight="1" thickBot="1">
      <c r="B86" s="23">
        <f t="shared" si="1"/>
        <v>81</v>
      </c>
      <c r="C86" s="37"/>
      <c r="D86" s="37"/>
      <c r="E86" s="37"/>
      <c r="F86" s="37"/>
      <c r="G86" s="38"/>
      <c r="H86" s="94"/>
    </row>
    <row r="87" spans="2:9" s="25" customFormat="1" ht="16.5" thickBot="1">
      <c r="B87" s="40">
        <f t="shared" si="1"/>
        <v>82</v>
      </c>
      <c r="C87" s="27" t="s">
        <v>4307</v>
      </c>
      <c r="D87" s="29" t="s">
        <v>262</v>
      </c>
      <c r="E87" s="27" t="s">
        <v>865</v>
      </c>
      <c r="F87" s="27" t="s">
        <v>866</v>
      </c>
      <c r="G87" s="26"/>
      <c r="H87" s="88" t="s">
        <v>2721</v>
      </c>
    </row>
    <row r="88" spans="2:9" s="25" customFormat="1" ht="16.5" thickBot="1">
      <c r="B88" s="40">
        <f t="shared" si="1"/>
        <v>83</v>
      </c>
      <c r="C88" s="27" t="s">
        <v>4307</v>
      </c>
      <c r="D88" s="29" t="s">
        <v>262</v>
      </c>
      <c r="E88" s="27" t="s">
        <v>865</v>
      </c>
      <c r="F88" s="27" t="s">
        <v>1728</v>
      </c>
      <c r="G88" s="26"/>
      <c r="H88" s="88" t="s">
        <v>3929</v>
      </c>
      <c r="I88" s="50" t="s">
        <v>2720</v>
      </c>
    </row>
    <row r="89" spans="2:9" s="25" customFormat="1" ht="16.5" thickBot="1">
      <c r="B89" s="40">
        <f t="shared" si="1"/>
        <v>84</v>
      </c>
      <c r="C89" s="27" t="s">
        <v>4307</v>
      </c>
      <c r="D89" s="29" t="s">
        <v>262</v>
      </c>
      <c r="E89" s="27" t="s">
        <v>865</v>
      </c>
      <c r="F89" s="27" t="s">
        <v>1333</v>
      </c>
      <c r="G89" s="27" t="s">
        <v>949</v>
      </c>
      <c r="H89" s="89" t="s">
        <v>2722</v>
      </c>
    </row>
    <row r="90" spans="2:9" s="25" customFormat="1" ht="16.5" thickBot="1">
      <c r="B90" s="40">
        <f t="shared" si="1"/>
        <v>85</v>
      </c>
      <c r="C90" s="27" t="s">
        <v>4307</v>
      </c>
      <c r="D90" s="29" t="s">
        <v>262</v>
      </c>
      <c r="E90" s="27" t="s">
        <v>865</v>
      </c>
      <c r="F90" s="27" t="s">
        <v>1333</v>
      </c>
      <c r="G90" s="27" t="s">
        <v>951</v>
      </c>
      <c r="H90" s="89" t="s">
        <v>2723</v>
      </c>
    </row>
    <row r="91" spans="2:9" s="25" customFormat="1" ht="16.5" thickBot="1">
      <c r="B91" s="40">
        <f t="shared" si="1"/>
        <v>86</v>
      </c>
      <c r="C91" s="27" t="s">
        <v>4307</v>
      </c>
      <c r="D91" s="29" t="s">
        <v>262</v>
      </c>
      <c r="E91" s="27" t="s">
        <v>865</v>
      </c>
      <c r="F91" s="27"/>
      <c r="G91" s="27" t="s">
        <v>3562</v>
      </c>
      <c r="H91" s="89" t="s">
        <v>3576</v>
      </c>
    </row>
    <row r="92" spans="2:9" s="25" customFormat="1" ht="16.5" thickBot="1">
      <c r="B92" s="40">
        <f t="shared" si="1"/>
        <v>87</v>
      </c>
      <c r="C92" s="27" t="s">
        <v>4307</v>
      </c>
      <c r="D92" s="29" t="s">
        <v>262</v>
      </c>
      <c r="E92" s="27" t="s">
        <v>865</v>
      </c>
      <c r="F92" s="68"/>
      <c r="G92" s="27" t="s">
        <v>3561</v>
      </c>
      <c r="H92" s="89"/>
    </row>
    <row r="93" spans="2:9" s="25" customFormat="1" ht="9" customHeight="1" thickBot="1">
      <c r="B93" s="23">
        <f t="shared" si="1"/>
        <v>88</v>
      </c>
      <c r="C93" s="43"/>
      <c r="D93" s="43"/>
      <c r="E93" s="43"/>
      <c r="F93" s="43"/>
      <c r="G93" s="43"/>
      <c r="H93" s="94"/>
    </row>
    <row r="94" spans="2:9" s="25" customFormat="1" ht="9" customHeight="1" thickBot="1">
      <c r="B94" s="23">
        <f t="shared" si="1"/>
        <v>89</v>
      </c>
      <c r="C94" s="37"/>
      <c r="D94" s="37"/>
      <c r="E94" s="37"/>
      <c r="F94" s="37"/>
      <c r="G94" s="38"/>
      <c r="H94" s="94"/>
    </row>
    <row r="95" spans="2:9" s="25" customFormat="1" ht="16.5" thickBot="1">
      <c r="B95" s="40">
        <f t="shared" si="1"/>
        <v>90</v>
      </c>
      <c r="C95" s="27" t="s">
        <v>4307</v>
      </c>
      <c r="D95" s="29" t="s">
        <v>263</v>
      </c>
      <c r="E95" s="27" t="s">
        <v>865</v>
      </c>
      <c r="F95" s="27" t="s">
        <v>866</v>
      </c>
      <c r="G95" s="26"/>
      <c r="H95" s="88" t="s">
        <v>2725</v>
      </c>
    </row>
    <row r="96" spans="2:9" s="25" customFormat="1" ht="16.5" thickBot="1">
      <c r="B96" s="40">
        <f t="shared" si="1"/>
        <v>91</v>
      </c>
      <c r="C96" s="27" t="s">
        <v>4307</v>
      </c>
      <c r="D96" s="29" t="s">
        <v>263</v>
      </c>
      <c r="E96" s="27" t="s">
        <v>865</v>
      </c>
      <c r="F96" s="27" t="s">
        <v>1728</v>
      </c>
      <c r="G96" s="26"/>
      <c r="H96" s="88" t="s">
        <v>3930</v>
      </c>
      <c r="I96" s="50" t="s">
        <v>2724</v>
      </c>
    </row>
    <row r="97" spans="2:11" s="25" customFormat="1" ht="16.5" thickBot="1">
      <c r="B97" s="40">
        <f t="shared" si="1"/>
        <v>92</v>
      </c>
      <c r="C97" s="27" t="s">
        <v>4307</v>
      </c>
      <c r="D97" s="29" t="s">
        <v>263</v>
      </c>
      <c r="E97" s="27" t="s">
        <v>865</v>
      </c>
      <c r="F97" s="27" t="s">
        <v>1333</v>
      </c>
      <c r="G97" s="27" t="s">
        <v>870</v>
      </c>
      <c r="H97" s="89" t="s">
        <v>2726</v>
      </c>
    </row>
    <row r="98" spans="2:11" s="25" customFormat="1" ht="16.5" thickBot="1">
      <c r="B98" s="40">
        <f t="shared" si="1"/>
        <v>93</v>
      </c>
      <c r="C98" s="27" t="s">
        <v>4307</v>
      </c>
      <c r="D98" s="29" t="s">
        <v>263</v>
      </c>
      <c r="E98" s="27" t="s">
        <v>865</v>
      </c>
      <c r="F98" s="27" t="s">
        <v>1333</v>
      </c>
      <c r="G98" s="27" t="s">
        <v>874</v>
      </c>
      <c r="H98" s="89" t="s">
        <v>2727</v>
      </c>
    </row>
    <row r="99" spans="2:11" s="25" customFormat="1" ht="16.5" thickBot="1">
      <c r="B99" s="40">
        <f t="shared" si="1"/>
        <v>94</v>
      </c>
      <c r="C99" s="27" t="s">
        <v>4307</v>
      </c>
      <c r="D99" s="29" t="s">
        <v>263</v>
      </c>
      <c r="E99" s="27" t="s">
        <v>865</v>
      </c>
      <c r="F99" s="27"/>
      <c r="G99" s="27" t="s">
        <v>3562</v>
      </c>
      <c r="H99" s="89" t="s">
        <v>3577</v>
      </c>
    </row>
    <row r="100" spans="2:11" s="25" customFormat="1" ht="9" customHeight="1" thickBot="1">
      <c r="B100" s="23">
        <f t="shared" si="1"/>
        <v>95</v>
      </c>
      <c r="C100" s="43"/>
      <c r="D100" s="43"/>
      <c r="E100" s="43"/>
      <c r="F100" s="43"/>
      <c r="G100" s="43"/>
      <c r="H100" s="94"/>
    </row>
    <row r="101" spans="2:11" s="25" customFormat="1" ht="9" customHeight="1" thickBot="1">
      <c r="B101" s="23">
        <f t="shared" si="1"/>
        <v>96</v>
      </c>
      <c r="C101" s="37"/>
      <c r="D101" s="37"/>
      <c r="E101" s="37"/>
      <c r="F101" s="37"/>
      <c r="G101" s="38"/>
      <c r="H101" s="94"/>
    </row>
    <row r="102" spans="2:11" s="25" customFormat="1" ht="16.5" thickBot="1">
      <c r="B102" s="40">
        <f t="shared" si="1"/>
        <v>97</v>
      </c>
      <c r="C102" s="27" t="s">
        <v>4307</v>
      </c>
      <c r="D102" s="69" t="s">
        <v>178</v>
      </c>
      <c r="E102" s="27"/>
      <c r="F102" s="27" t="s">
        <v>866</v>
      </c>
      <c r="G102" s="26"/>
      <c r="H102" s="88"/>
    </row>
    <row r="103" spans="2:11" s="25" customFormat="1" ht="16.5" thickBot="1">
      <c r="B103" s="40">
        <f t="shared" si="1"/>
        <v>98</v>
      </c>
      <c r="C103" s="27" t="s">
        <v>4307</v>
      </c>
      <c r="D103" s="69" t="s">
        <v>178</v>
      </c>
      <c r="E103" s="27"/>
      <c r="F103" s="27" t="s">
        <v>1728</v>
      </c>
      <c r="G103" s="26"/>
      <c r="H103" s="88"/>
      <c r="I103" s="50"/>
    </row>
    <row r="104" spans="2:11" s="25" customFormat="1" ht="16.5" thickBot="1">
      <c r="B104" s="40">
        <f t="shared" si="1"/>
        <v>99</v>
      </c>
      <c r="C104" s="27" t="s">
        <v>4307</v>
      </c>
      <c r="D104" s="69" t="s">
        <v>178</v>
      </c>
      <c r="E104" s="27"/>
      <c r="F104" s="27" t="s">
        <v>1333</v>
      </c>
      <c r="G104" s="27"/>
      <c r="H104" s="89"/>
    </row>
    <row r="105" spans="2:11" s="25" customFormat="1" ht="16.5" thickBot="1">
      <c r="B105" s="40">
        <f t="shared" si="1"/>
        <v>100</v>
      </c>
      <c r="C105" s="27" t="s">
        <v>4307</v>
      </c>
      <c r="D105" s="69" t="s">
        <v>178</v>
      </c>
      <c r="E105" s="27"/>
      <c r="F105" s="27" t="s">
        <v>1333</v>
      </c>
      <c r="G105" s="27"/>
      <c r="H105" s="89"/>
    </row>
    <row r="106" spans="2:11" s="25" customFormat="1" ht="16.5" thickBot="1">
      <c r="B106" s="40">
        <f t="shared" si="1"/>
        <v>101</v>
      </c>
      <c r="C106" s="27" t="s">
        <v>4307</v>
      </c>
      <c r="D106" s="69" t="s">
        <v>178</v>
      </c>
      <c r="E106" s="27"/>
      <c r="F106" s="27" t="s">
        <v>1333</v>
      </c>
      <c r="G106" s="27"/>
      <c r="H106" s="89"/>
    </row>
    <row r="107" spans="2:11" s="25" customFormat="1" ht="16.5" thickBot="1">
      <c r="B107" s="40">
        <f t="shared" si="1"/>
        <v>102</v>
      </c>
      <c r="C107" s="27" t="s">
        <v>4307</v>
      </c>
      <c r="D107" s="69" t="s">
        <v>178</v>
      </c>
      <c r="E107" s="27"/>
      <c r="F107" s="27"/>
      <c r="G107" s="27"/>
      <c r="H107" s="89"/>
    </row>
    <row r="108" spans="2:11" s="25" customFormat="1" ht="9" customHeight="1" thickBot="1">
      <c r="B108" s="23">
        <f t="shared" si="1"/>
        <v>103</v>
      </c>
      <c r="C108" s="43"/>
      <c r="D108" s="43"/>
      <c r="E108" s="43"/>
      <c r="F108" s="43"/>
      <c r="G108" s="43"/>
      <c r="H108" s="44"/>
    </row>
    <row r="109" spans="2:11" ht="16.5" thickBot="1">
      <c r="E109" s="25"/>
      <c r="K109" s="10"/>
    </row>
    <row r="110" spans="2:11" ht="15.75" thickBot="1">
      <c r="C110" s="111"/>
      <c r="D110" s="112"/>
      <c r="F110" s="111"/>
      <c r="G110" s="113"/>
      <c r="H110" s="113"/>
      <c r="I110" s="113"/>
      <c r="J110" s="112"/>
    </row>
    <row r="111" spans="2:11">
      <c r="C111" s="72"/>
      <c r="D111" s="73"/>
      <c r="F111" s="72"/>
      <c r="G111" s="76"/>
      <c r="H111" s="76"/>
      <c r="I111" s="76"/>
      <c r="J111" s="73"/>
    </row>
    <row r="112" spans="2:11">
      <c r="C112" s="72"/>
      <c r="D112" s="73"/>
      <c r="F112" s="72"/>
      <c r="G112" s="76"/>
      <c r="H112" s="76"/>
      <c r="I112" s="76"/>
      <c r="J112" s="73"/>
    </row>
    <row r="113" spans="3:10">
      <c r="C113" s="72"/>
      <c r="D113" s="73"/>
      <c r="F113" s="72"/>
      <c r="G113" s="76"/>
      <c r="H113" s="76"/>
      <c r="I113" s="76"/>
      <c r="J113" s="73"/>
    </row>
    <row r="114" spans="3:10">
      <c r="C114" s="72"/>
      <c r="D114" s="73"/>
      <c r="F114" s="72"/>
      <c r="G114" s="76"/>
      <c r="H114" s="76"/>
      <c r="I114" s="76"/>
      <c r="J114" s="73"/>
    </row>
    <row r="115" spans="3:10">
      <c r="C115" s="72"/>
      <c r="D115" s="73"/>
      <c r="F115" s="72"/>
      <c r="G115" s="76"/>
      <c r="H115" s="76"/>
      <c r="I115" s="76"/>
      <c r="J115" s="73"/>
    </row>
    <row r="116" spans="3:10">
      <c r="C116" s="72"/>
      <c r="D116" s="73"/>
      <c r="F116" s="72"/>
      <c r="G116" s="76"/>
      <c r="H116" s="76"/>
      <c r="I116" s="76"/>
      <c r="J116" s="73"/>
    </row>
    <row r="117" spans="3:10">
      <c r="C117" s="72"/>
      <c r="D117" s="73"/>
      <c r="F117" s="72"/>
      <c r="G117" s="76"/>
      <c r="H117" s="76"/>
      <c r="I117" s="76"/>
      <c r="J117" s="73"/>
    </row>
    <row r="118" spans="3:10">
      <c r="C118" s="72"/>
      <c r="D118" s="73"/>
      <c r="F118" s="72"/>
      <c r="G118" s="76"/>
      <c r="H118" s="76"/>
      <c r="I118" s="76"/>
      <c r="J118" s="73"/>
    </row>
    <row r="119" spans="3:10">
      <c r="C119" s="72"/>
      <c r="D119" s="73"/>
      <c r="F119" s="72"/>
      <c r="G119" s="76"/>
      <c r="H119" s="76"/>
      <c r="I119" s="76"/>
      <c r="J119" s="73"/>
    </row>
    <row r="120" spans="3:10">
      <c r="C120" s="72"/>
      <c r="D120" s="73"/>
      <c r="F120" s="72"/>
      <c r="G120" s="76"/>
      <c r="H120" s="76"/>
      <c r="I120" s="76"/>
      <c r="J120" s="73"/>
    </row>
    <row r="121" spans="3:10">
      <c r="C121" s="72"/>
      <c r="D121" s="73"/>
      <c r="F121" s="72"/>
      <c r="G121" s="76"/>
      <c r="H121" s="76"/>
      <c r="I121" s="76"/>
      <c r="J121" s="73"/>
    </row>
    <row r="122" spans="3:10">
      <c r="C122" s="72"/>
      <c r="D122" s="73"/>
      <c r="F122" s="72"/>
      <c r="G122" s="76"/>
      <c r="H122" s="76"/>
      <c r="I122" s="76"/>
      <c r="J122" s="73"/>
    </row>
    <row r="123" spans="3:10">
      <c r="C123" s="72"/>
      <c r="D123" s="73"/>
      <c r="F123" s="72"/>
      <c r="G123" s="76"/>
      <c r="H123" s="76"/>
      <c r="I123" s="76"/>
      <c r="J123" s="73"/>
    </row>
    <row r="124" spans="3:10">
      <c r="C124" s="72"/>
      <c r="D124" s="73"/>
      <c r="F124" s="72"/>
      <c r="G124" s="76"/>
      <c r="H124" s="76"/>
      <c r="I124" s="76"/>
      <c r="J124" s="73"/>
    </row>
    <row r="125" spans="3:10">
      <c r="C125" s="72"/>
      <c r="D125" s="73"/>
      <c r="F125" s="72"/>
      <c r="G125" s="76"/>
      <c r="H125" s="76"/>
      <c r="I125" s="76"/>
      <c r="J125" s="73"/>
    </row>
    <row r="126" spans="3:10">
      <c r="C126" s="72"/>
      <c r="D126" s="73"/>
      <c r="F126" s="72"/>
      <c r="G126" s="76"/>
      <c r="H126" s="76"/>
      <c r="I126" s="76"/>
      <c r="J126" s="73"/>
    </row>
    <row r="127" spans="3:10">
      <c r="C127" s="72"/>
      <c r="D127" s="73"/>
      <c r="F127" s="72"/>
      <c r="G127" s="76"/>
      <c r="H127" s="76"/>
      <c r="I127" s="76"/>
      <c r="J127" s="73"/>
    </row>
    <row r="128" spans="3:10">
      <c r="C128" s="72"/>
      <c r="D128" s="73"/>
      <c r="F128" s="72"/>
      <c r="G128" s="76"/>
      <c r="H128" s="76"/>
      <c r="I128" s="76"/>
      <c r="J128" s="73"/>
    </row>
    <row r="129" spans="3:10">
      <c r="C129" s="72"/>
      <c r="D129" s="73"/>
      <c r="F129" s="72"/>
      <c r="G129" s="76"/>
      <c r="H129" s="76"/>
      <c r="I129" s="76"/>
      <c r="J129" s="73"/>
    </row>
    <row r="130" spans="3:10">
      <c r="C130" s="72"/>
      <c r="D130" s="73"/>
      <c r="F130" s="72"/>
      <c r="G130" s="76"/>
      <c r="H130" s="76"/>
      <c r="I130" s="76"/>
      <c r="J130" s="73"/>
    </row>
    <row r="131" spans="3:10">
      <c r="C131" s="72"/>
      <c r="D131" s="73"/>
      <c r="F131" s="72"/>
      <c r="G131" s="76"/>
      <c r="H131" s="76"/>
      <c r="I131" s="76"/>
      <c r="J131" s="73"/>
    </row>
    <row r="132" spans="3:10">
      <c r="C132" s="72"/>
      <c r="D132" s="73"/>
      <c r="F132" s="72"/>
      <c r="G132" s="76"/>
      <c r="H132" s="76"/>
      <c r="I132" s="76"/>
      <c r="J132" s="73"/>
    </row>
    <row r="133" spans="3:10">
      <c r="C133" s="72"/>
      <c r="D133" s="73"/>
      <c r="F133" s="72"/>
      <c r="G133" s="76"/>
      <c r="H133" s="76"/>
      <c r="I133" s="76"/>
      <c r="J133" s="73"/>
    </row>
    <row r="134" spans="3:10">
      <c r="C134" s="72"/>
      <c r="D134" s="73"/>
      <c r="F134" s="72"/>
      <c r="G134" s="76"/>
      <c r="H134" s="76"/>
      <c r="I134" s="76"/>
      <c r="J134" s="73"/>
    </row>
    <row r="135" spans="3:10">
      <c r="C135" s="72"/>
      <c r="D135" s="73"/>
      <c r="F135" s="72"/>
      <c r="G135" s="76"/>
      <c r="H135" s="76"/>
      <c r="I135" s="76"/>
      <c r="J135" s="73"/>
    </row>
    <row r="136" spans="3:10">
      <c r="C136" s="72"/>
      <c r="D136" s="73"/>
      <c r="F136" s="72"/>
      <c r="G136" s="76"/>
      <c r="H136" s="76"/>
      <c r="I136" s="76"/>
      <c r="J136" s="73"/>
    </row>
    <row r="137" spans="3:10">
      <c r="C137" s="72"/>
      <c r="D137" s="73"/>
      <c r="F137" s="72"/>
      <c r="G137" s="76"/>
      <c r="H137" s="76"/>
      <c r="I137" s="76"/>
      <c r="J137" s="73"/>
    </row>
    <row r="138" spans="3:10">
      <c r="C138" s="72"/>
      <c r="D138" s="73"/>
      <c r="F138" s="72"/>
      <c r="G138" s="76"/>
      <c r="H138" s="76"/>
      <c r="I138" s="76"/>
      <c r="J138" s="73"/>
    </row>
    <row r="139" spans="3:10">
      <c r="C139" s="72"/>
      <c r="D139" s="73"/>
      <c r="F139" s="72"/>
      <c r="G139" s="76"/>
      <c r="H139" s="76"/>
      <c r="I139" s="76"/>
      <c r="J139" s="73"/>
    </row>
    <row r="140" spans="3:10">
      <c r="C140" s="72"/>
      <c r="D140" s="73"/>
      <c r="F140" s="72"/>
      <c r="G140" s="76"/>
      <c r="H140" s="76"/>
      <c r="I140" s="76"/>
      <c r="J140" s="73"/>
    </row>
    <row r="141" spans="3:10">
      <c r="C141" s="72"/>
      <c r="D141" s="73"/>
      <c r="F141" s="72"/>
      <c r="G141" s="76"/>
      <c r="H141" s="76"/>
      <c r="I141" s="76"/>
      <c r="J141" s="73"/>
    </row>
    <row r="142" spans="3:10">
      <c r="C142" s="72"/>
      <c r="D142" s="73"/>
      <c r="F142" s="72"/>
      <c r="G142" s="76"/>
      <c r="H142" s="76"/>
      <c r="I142" s="76"/>
      <c r="J142" s="73"/>
    </row>
    <row r="143" spans="3:10">
      <c r="C143" s="72"/>
      <c r="D143" s="73"/>
      <c r="F143" s="72"/>
      <c r="G143" s="76"/>
      <c r="H143" s="76"/>
      <c r="I143" s="76"/>
      <c r="J143" s="73"/>
    </row>
    <row r="144" spans="3:10">
      <c r="C144" s="72"/>
      <c r="D144" s="73"/>
      <c r="F144" s="72"/>
      <c r="G144" s="76"/>
      <c r="H144" s="76"/>
      <c r="I144" s="76"/>
      <c r="J144" s="73"/>
    </row>
    <row r="145" spans="3:10">
      <c r="C145" s="72"/>
      <c r="D145" s="73"/>
      <c r="F145" s="72"/>
      <c r="G145" s="76"/>
      <c r="H145" s="76"/>
      <c r="I145" s="76"/>
      <c r="J145" s="73"/>
    </row>
    <row r="146" spans="3:10">
      <c r="C146" s="72"/>
      <c r="D146" s="73"/>
      <c r="F146" s="72"/>
      <c r="G146" s="76"/>
      <c r="H146" s="76"/>
      <c r="I146" s="76"/>
      <c r="J146" s="73"/>
    </row>
    <row r="147" spans="3:10">
      <c r="C147" s="72"/>
      <c r="D147" s="73"/>
      <c r="F147" s="72"/>
      <c r="G147" s="76"/>
      <c r="H147" s="76"/>
      <c r="I147" s="76"/>
      <c r="J147" s="73"/>
    </row>
    <row r="148" spans="3:10">
      <c r="C148" s="72"/>
      <c r="D148" s="73"/>
      <c r="F148" s="72"/>
      <c r="G148" s="76"/>
      <c r="H148" s="76"/>
      <c r="I148" s="76"/>
      <c r="J148" s="73"/>
    </row>
    <row r="149" spans="3:10">
      <c r="C149" s="72"/>
      <c r="D149" s="73"/>
      <c r="F149" s="72"/>
      <c r="G149" s="76"/>
      <c r="H149" s="76"/>
      <c r="I149" s="76"/>
      <c r="J149" s="73"/>
    </row>
    <row r="150" spans="3:10">
      <c r="C150" s="72"/>
      <c r="D150" s="73"/>
      <c r="F150" s="72"/>
      <c r="G150" s="76"/>
      <c r="H150" s="76"/>
      <c r="I150" s="76"/>
      <c r="J150" s="73"/>
    </row>
    <row r="151" spans="3:10">
      <c r="C151" s="72"/>
      <c r="D151" s="73"/>
      <c r="F151" s="72"/>
      <c r="G151" s="76"/>
      <c r="H151" s="76"/>
      <c r="I151" s="76"/>
      <c r="J151" s="73"/>
    </row>
    <row r="152" spans="3:10">
      <c r="C152" s="72"/>
      <c r="D152" s="73"/>
      <c r="F152" s="72"/>
      <c r="G152" s="76"/>
      <c r="H152" s="76"/>
      <c r="I152" s="76"/>
      <c r="J152" s="73"/>
    </row>
    <row r="153" spans="3:10">
      <c r="C153" s="72"/>
      <c r="D153" s="73"/>
      <c r="F153" s="72"/>
      <c r="G153" s="76"/>
      <c r="H153" s="76"/>
      <c r="I153" s="76"/>
      <c r="J153" s="73"/>
    </row>
    <row r="154" spans="3:10">
      <c r="C154" s="72"/>
      <c r="D154" s="73"/>
      <c r="F154" s="72"/>
      <c r="G154" s="76"/>
      <c r="H154" s="76"/>
      <c r="I154" s="76"/>
      <c r="J154" s="73"/>
    </row>
    <row r="155" spans="3:10">
      <c r="C155" s="72"/>
      <c r="D155" s="73"/>
      <c r="F155" s="72"/>
      <c r="G155" s="76"/>
      <c r="H155" s="76"/>
      <c r="I155" s="76"/>
      <c r="J155" s="73"/>
    </row>
    <row r="156" spans="3:10">
      <c r="C156" s="72"/>
      <c r="D156" s="73"/>
      <c r="F156" s="72"/>
      <c r="G156" s="76"/>
      <c r="H156" s="76"/>
      <c r="I156" s="76"/>
      <c r="J156" s="73"/>
    </row>
    <row r="157" spans="3:10">
      <c r="C157" s="72"/>
      <c r="D157" s="73"/>
      <c r="F157" s="72"/>
      <c r="G157" s="76"/>
      <c r="H157" s="76"/>
      <c r="I157" s="76"/>
      <c r="J157" s="73"/>
    </row>
    <row r="158" spans="3:10">
      <c r="C158" s="72"/>
      <c r="D158" s="73"/>
      <c r="F158" s="72"/>
      <c r="G158" s="76"/>
      <c r="H158" s="76"/>
      <c r="I158" s="76"/>
      <c r="J158" s="73"/>
    </row>
    <row r="159" spans="3:10">
      <c r="C159" s="72"/>
      <c r="D159" s="73"/>
      <c r="F159" s="72"/>
      <c r="G159" s="76"/>
      <c r="H159" s="76"/>
      <c r="I159" s="76"/>
      <c r="J159" s="73"/>
    </row>
    <row r="160" spans="3:10">
      <c r="C160" s="72"/>
      <c r="D160" s="73"/>
      <c r="F160" s="72"/>
      <c r="G160" s="76"/>
      <c r="H160" s="76"/>
      <c r="I160" s="76"/>
      <c r="J160" s="73"/>
    </row>
    <row r="161" spans="3:10">
      <c r="C161" s="72"/>
      <c r="D161" s="73"/>
      <c r="F161" s="72"/>
      <c r="G161" s="76"/>
      <c r="H161" s="76"/>
      <c r="I161" s="76"/>
      <c r="J161" s="73"/>
    </row>
    <row r="162" spans="3:10">
      <c r="C162" s="72"/>
      <c r="D162" s="73"/>
      <c r="F162" s="72"/>
      <c r="G162" s="76"/>
      <c r="H162" s="76"/>
      <c r="I162" s="76"/>
      <c r="J162" s="73"/>
    </row>
    <row r="163" spans="3:10">
      <c r="C163" s="72"/>
      <c r="D163" s="73"/>
      <c r="F163" s="72"/>
      <c r="G163" s="76"/>
      <c r="H163" s="76"/>
      <c r="I163" s="76"/>
      <c r="J163" s="73"/>
    </row>
    <row r="164" spans="3:10">
      <c r="C164" s="72"/>
      <c r="D164" s="73"/>
      <c r="F164" s="72"/>
      <c r="G164" s="76"/>
      <c r="H164" s="76"/>
      <c r="I164" s="76"/>
      <c r="J164" s="73"/>
    </row>
    <row r="165" spans="3:10">
      <c r="C165" s="72"/>
      <c r="D165" s="73"/>
      <c r="F165" s="72"/>
      <c r="G165" s="76"/>
      <c r="H165" s="76"/>
      <c r="I165" s="76"/>
      <c r="J165" s="73"/>
    </row>
    <row r="166" spans="3:10">
      <c r="C166" s="72"/>
      <c r="D166" s="73"/>
      <c r="F166" s="72"/>
      <c r="G166" s="76"/>
      <c r="H166" s="76"/>
      <c r="I166" s="76"/>
      <c r="J166" s="73"/>
    </row>
    <row r="167" spans="3:10">
      <c r="C167" s="72"/>
      <c r="D167" s="73"/>
      <c r="F167" s="72"/>
      <c r="G167" s="76"/>
      <c r="H167" s="76"/>
      <c r="I167" s="76"/>
      <c r="J167" s="73"/>
    </row>
    <row r="168" spans="3:10">
      <c r="C168" s="72"/>
      <c r="D168" s="73"/>
      <c r="F168" s="72"/>
      <c r="G168" s="76"/>
      <c r="H168" s="76"/>
      <c r="I168" s="76"/>
      <c r="J168" s="73"/>
    </row>
    <row r="169" spans="3:10">
      <c r="C169" s="72"/>
      <c r="D169" s="73"/>
      <c r="F169" s="72"/>
      <c r="G169" s="76"/>
      <c r="H169" s="76"/>
      <c r="I169" s="76"/>
      <c r="J169" s="73"/>
    </row>
    <row r="170" spans="3:10">
      <c r="C170" s="72"/>
      <c r="D170" s="73"/>
      <c r="F170" s="72"/>
      <c r="G170" s="76"/>
      <c r="H170" s="76"/>
      <c r="I170" s="76"/>
      <c r="J170" s="73"/>
    </row>
    <row r="171" spans="3:10">
      <c r="C171" s="72"/>
      <c r="D171" s="73"/>
      <c r="F171" s="72"/>
      <c r="G171" s="76"/>
      <c r="H171" s="76"/>
      <c r="I171" s="76"/>
      <c r="J171" s="73"/>
    </row>
    <row r="172" spans="3:10">
      <c r="C172" s="72"/>
      <c r="D172" s="73"/>
      <c r="F172" s="72"/>
      <c r="G172" s="76"/>
      <c r="H172" s="76"/>
      <c r="I172" s="76"/>
      <c r="J172" s="73"/>
    </row>
    <row r="173" spans="3:10">
      <c r="C173" s="72"/>
      <c r="D173" s="73"/>
      <c r="F173" s="72"/>
      <c r="G173" s="76"/>
      <c r="H173" s="76"/>
      <c r="I173" s="76"/>
      <c r="J173" s="73"/>
    </row>
    <row r="174" spans="3:10">
      <c r="C174" s="72"/>
      <c r="D174" s="73"/>
      <c r="F174" s="72"/>
      <c r="G174" s="76"/>
      <c r="H174" s="76"/>
      <c r="I174" s="76"/>
      <c r="J174" s="73"/>
    </row>
    <row r="175" spans="3:10">
      <c r="C175" s="72"/>
      <c r="D175" s="73"/>
      <c r="F175" s="72"/>
      <c r="G175" s="76"/>
      <c r="H175" s="76"/>
      <c r="I175" s="76"/>
      <c r="J175" s="73"/>
    </row>
    <row r="176" spans="3:10">
      <c r="C176" s="72"/>
      <c r="D176" s="73"/>
      <c r="F176" s="72"/>
      <c r="G176" s="76"/>
      <c r="H176" s="76"/>
      <c r="I176" s="76"/>
      <c r="J176" s="73"/>
    </row>
    <row r="177" spans="3:10">
      <c r="C177" s="72"/>
      <c r="D177" s="73"/>
      <c r="F177" s="72"/>
      <c r="G177" s="76"/>
      <c r="H177" s="76"/>
      <c r="I177" s="76"/>
      <c r="J177" s="73"/>
    </row>
    <row r="178" spans="3:10">
      <c r="C178" s="72"/>
      <c r="D178" s="73"/>
      <c r="F178" s="72"/>
      <c r="G178" s="76"/>
      <c r="H178" s="76"/>
      <c r="I178" s="76"/>
      <c r="J178" s="73"/>
    </row>
    <row r="179" spans="3:10">
      <c r="C179" s="72"/>
      <c r="D179" s="73"/>
      <c r="F179" s="72"/>
      <c r="G179" s="76"/>
      <c r="H179" s="76"/>
      <c r="I179" s="76"/>
      <c r="J179" s="73"/>
    </row>
    <row r="180" spans="3:10">
      <c r="C180" s="72"/>
      <c r="D180" s="73"/>
      <c r="F180" s="72"/>
      <c r="G180" s="76"/>
      <c r="H180" s="76"/>
      <c r="I180" s="76"/>
      <c r="J180" s="73"/>
    </row>
    <row r="181" spans="3:10">
      <c r="C181" s="72"/>
      <c r="D181" s="73"/>
      <c r="F181" s="72"/>
      <c r="G181" s="76"/>
      <c r="H181" s="76"/>
      <c r="I181" s="76"/>
      <c r="J181" s="73"/>
    </row>
    <row r="182" spans="3:10">
      <c r="C182" s="72"/>
      <c r="D182" s="73"/>
      <c r="F182" s="72"/>
      <c r="G182" s="76"/>
      <c r="H182" s="76"/>
      <c r="I182" s="76"/>
      <c r="J182" s="73"/>
    </row>
    <row r="183" spans="3:10">
      <c r="C183" s="72"/>
      <c r="D183" s="73"/>
      <c r="F183" s="72"/>
      <c r="G183" s="76"/>
      <c r="H183" s="76"/>
      <c r="I183" s="76"/>
      <c r="J183" s="73"/>
    </row>
    <row r="184" spans="3:10">
      <c r="C184" s="72"/>
      <c r="D184" s="73"/>
      <c r="F184" s="72"/>
      <c r="G184" s="76"/>
      <c r="H184" s="76"/>
      <c r="I184" s="76"/>
      <c r="J184" s="73"/>
    </row>
    <row r="185" spans="3:10">
      <c r="C185" s="72"/>
      <c r="D185" s="73"/>
      <c r="F185" s="72"/>
      <c r="G185" s="76"/>
      <c r="H185" s="76"/>
      <c r="I185" s="76"/>
      <c r="J185" s="73"/>
    </row>
    <row r="186" spans="3:10">
      <c r="C186" s="72"/>
      <c r="D186" s="73"/>
      <c r="F186" s="72"/>
      <c r="G186" s="76"/>
      <c r="H186" s="76"/>
      <c r="I186" s="76"/>
      <c r="J186" s="73"/>
    </row>
    <row r="187" spans="3:10">
      <c r="C187" s="72"/>
      <c r="D187" s="73"/>
      <c r="F187" s="72"/>
      <c r="G187" s="76"/>
      <c r="H187" s="76"/>
      <c r="I187" s="76"/>
      <c r="J187" s="73"/>
    </row>
    <row r="188" spans="3:10">
      <c r="C188" s="72"/>
      <c r="D188" s="73"/>
      <c r="F188" s="72"/>
      <c r="G188" s="76"/>
      <c r="H188" s="76"/>
      <c r="I188" s="76"/>
      <c r="J188" s="73"/>
    </row>
    <row r="189" spans="3:10">
      <c r="C189" s="72"/>
      <c r="D189" s="73"/>
      <c r="F189" s="72"/>
      <c r="G189" s="76"/>
      <c r="H189" s="76"/>
      <c r="I189" s="76"/>
      <c r="J189" s="73"/>
    </row>
    <row r="190" spans="3:10">
      <c r="C190" s="72"/>
      <c r="D190" s="73"/>
      <c r="F190" s="72"/>
      <c r="G190" s="76"/>
      <c r="H190" s="76"/>
      <c r="I190" s="76"/>
      <c r="J190" s="73"/>
    </row>
    <row r="191" spans="3:10">
      <c r="C191" s="72"/>
      <c r="D191" s="73"/>
      <c r="F191" s="72"/>
      <c r="G191" s="76"/>
      <c r="H191" s="76"/>
      <c r="I191" s="76"/>
      <c r="J191" s="73"/>
    </row>
    <row r="192" spans="3:10">
      <c r="C192" s="72"/>
      <c r="D192" s="73"/>
      <c r="F192" s="72"/>
      <c r="G192" s="76"/>
      <c r="H192" s="76"/>
      <c r="I192" s="76"/>
      <c r="J192" s="73"/>
    </row>
    <row r="193" spans="3:10" ht="15.75" thickBot="1">
      <c r="C193" s="72"/>
      <c r="D193" s="73"/>
      <c r="F193" s="74"/>
      <c r="G193" s="77"/>
      <c r="H193" s="77"/>
      <c r="I193" s="77"/>
      <c r="J193" s="75"/>
    </row>
    <row r="194" spans="3:10">
      <c r="C194" s="72"/>
      <c r="D194" s="73"/>
    </row>
    <row r="195" spans="3:10">
      <c r="C195" s="72"/>
      <c r="D195" s="73"/>
    </row>
    <row r="196" spans="3:10">
      <c r="C196" s="72"/>
      <c r="D196" s="73"/>
    </row>
    <row r="197" spans="3:10">
      <c r="C197" s="72"/>
      <c r="D197" s="73"/>
    </row>
    <row r="198" spans="3:10">
      <c r="C198" s="72"/>
      <c r="D198" s="73"/>
    </row>
    <row r="199" spans="3:10">
      <c r="C199" s="72"/>
      <c r="D199" s="73"/>
    </row>
    <row r="200" spans="3:10">
      <c r="C200" s="72"/>
      <c r="D200" s="83"/>
    </row>
    <row r="201" spans="3:10">
      <c r="C201" s="72"/>
      <c r="D201" s="73"/>
    </row>
    <row r="202" spans="3:10">
      <c r="C202" s="72"/>
      <c r="D202" s="73"/>
    </row>
    <row r="203" spans="3:10">
      <c r="C203" s="72"/>
      <c r="D203" s="73"/>
    </row>
    <row r="204" spans="3:10">
      <c r="C204" s="72"/>
      <c r="D204" s="73"/>
    </row>
    <row r="205" spans="3:10">
      <c r="C205" s="72"/>
      <c r="D205" s="73"/>
    </row>
    <row r="206" spans="3:10">
      <c r="C206" s="72"/>
      <c r="D206" s="73"/>
    </row>
    <row r="207" spans="3:10">
      <c r="C207" s="72"/>
      <c r="D207" s="73"/>
    </row>
    <row r="208" spans="3:10">
      <c r="C208" s="72"/>
      <c r="D208" s="73"/>
    </row>
    <row r="209" spans="3:4">
      <c r="C209" s="72"/>
      <c r="D209" s="73"/>
    </row>
    <row r="210" spans="3:4">
      <c r="C210" s="72"/>
      <c r="D210" s="73"/>
    </row>
    <row r="211" spans="3:4">
      <c r="C211" s="72"/>
      <c r="D211" s="73"/>
    </row>
    <row r="212" spans="3:4">
      <c r="C212" s="72"/>
      <c r="D212" s="73"/>
    </row>
    <row r="213" spans="3:4">
      <c r="C213" s="72"/>
      <c r="D213" s="73"/>
    </row>
    <row r="214" spans="3:4">
      <c r="C214" s="72"/>
      <c r="D214" s="73"/>
    </row>
    <row r="215" spans="3:4">
      <c r="C215" s="72"/>
      <c r="D215" s="73"/>
    </row>
    <row r="216" spans="3:4">
      <c r="C216" s="72"/>
      <c r="D216" s="73"/>
    </row>
    <row r="217" spans="3:4">
      <c r="C217" s="72"/>
      <c r="D217" s="73"/>
    </row>
    <row r="218" spans="3:4">
      <c r="C218" s="72"/>
      <c r="D218" s="73"/>
    </row>
    <row r="219" spans="3:4">
      <c r="C219" s="72"/>
      <c r="D219" s="73"/>
    </row>
    <row r="220" spans="3:4">
      <c r="C220" s="72"/>
      <c r="D220" s="73"/>
    </row>
    <row r="221" spans="3:4">
      <c r="C221" s="72"/>
      <c r="D221" s="73"/>
    </row>
    <row r="222" spans="3:4">
      <c r="C222" s="72"/>
      <c r="D222" s="73"/>
    </row>
    <row r="223" spans="3:4">
      <c r="C223" s="72"/>
      <c r="D223" s="73"/>
    </row>
    <row r="224" spans="3:4">
      <c r="C224" s="72"/>
      <c r="D224" s="73"/>
    </row>
    <row r="225" spans="3:4" ht="15.75" thickBot="1">
      <c r="C225" s="74"/>
      <c r="D225" s="75"/>
    </row>
  </sheetData>
  <mergeCells count="3">
    <mergeCell ref="C1:H1"/>
    <mergeCell ref="C110:D110"/>
    <mergeCell ref="F110:J110"/>
  </mergeCells>
  <dataValidations count="5">
    <dataValidation type="list" allowBlank="1" showInputMessage="1" showErrorMessage="1" sqref="E102:E107 E73:E76 E53:E56 E28:E35 E46:E50 E5:E13 E38:E43 E16:E25 E66:E70 E59:E63 E79:E84 E87:E92 E95:E99">
      <formula1>"Servicios,Referencia"</formula1>
    </dataValidation>
    <dataValidation type="list" allowBlank="1" showInputMessage="1" showErrorMessage="1" sqref="F102:F107 F73:F76 F53:F56 F28:F35 F95:F99 F5:F13 F38:F43 F16:F25 F66:F70 F59:F63 F79:F84 F87:F92 F46:F50">
      <formula1>Clase</formula1>
    </dataValidation>
    <dataValidation type="list" allowBlank="1" showInputMessage="1" showErrorMessage="1" sqref="D102:D107 D73:D76 D53:D56 D28:D35 D5:D13 D38:D43 D16:D25 D46:D50 D59:D63 D66:D70 D95:D99 D79:D84 D87:D92">
      <formula1>Estaciones</formula1>
    </dataValidation>
    <dataValidation type="list" allowBlank="1" showInputMessage="1" showErrorMessage="1" sqref="C102:C107 C79:C84 C59:C63 C38:C43 C28:C35 C16:C25 C53:C56 C46:C50 C73:C76 C66:C70 C87:C92 C95:C99 C5:C13">
      <formula1>Grupo</formula1>
    </dataValidation>
    <dataValidation type="custom" allowBlank="1" showInputMessage="1" showErrorMessage="1" sqref="E108 E100:E101 E71:E72 E51:E52 E3:E4 E14:E15 E44:E45 E36:E37 E26:E27 E57:E58 E64:E65 E77:E78 E93:E94 E85:E86">
      <formula1>"Referencia,Servicios"</formula1>
    </dataValidation>
  </dataValidations>
  <hyperlinks>
    <hyperlink ref="I6" r:id="rId1" display="http://toolserver.org/~geohack/geohack.php?pagename=Polit%C3%A9cnico_(estaci%C3%B3n)&amp;language=es&amp;params=19.50082_N_99.149294_W_region:MX_type:landmark_scale:5000"/>
    <hyperlink ref="I17" r:id="rId2" display="http://toolserver.org/~geohack/geohack.php?pagename=Instituto_del_Petr%C3%B3leo_(estaci%C3%B3n)&amp;language=es&amp;params=19.489573_N_99.14526_W_region:MX_type:landmark_scale:5000"/>
    <hyperlink ref="I29" r:id="rId3" display="http://toolserver.org/~geohack/geohack.php?pagename=Autobuses_del_Norte_(estaci%C3%B3n)&amp;language=es&amp;params=19.478973_N_99.140668_W_region:MX_type:landmark_scale:5000"/>
    <hyperlink ref="I54" r:id="rId4" display="http://toolserver.org/~geohack/geohack.php?pagename=Valle_G%C3%B3mez_(estaci%C3%B3n)&amp;language=es&amp;params=19.458742_N_99.119296_W_region:MX_type:landmark_scale:5000"/>
    <hyperlink ref="I67" r:id="rId5" display="http://toolserver.org/~geohack/geohack.php?pagename=Eduardo_Molina_(estaci%C3%B3n)&amp;language=es&amp;params=19.451378_N_99.105434_W_region:MX_type:landmark_scale:5000"/>
    <hyperlink ref="I74" r:id="rId6" display="http://toolserver.org/~geohack/geohack.php?pagename=Arag%C3%B3n_(estaci%C3%B3n)&amp;language=es&amp;params=19.451236_N_99.095886_W_region:MX_type:landmark_scale:5000"/>
    <hyperlink ref="I88" r:id="rId7" display="http://toolserver.org/~geohack/geohack.php?pagename=Terminal_A%C3%A9rea_(estaci%C3%B3n)&amp;language=es&amp;params=19.433734_N_99.087667_W_region:MX_type:landmark_scale:5000"/>
    <hyperlink ref="I96" r:id="rId8" display="http://toolserver.org/~geohack/geohack.php?pagename=Hangares_(estaci%C3%B3n)&amp;language=es&amp;params=19.424142_N_99.087496_W_region:MX_type:landmark_scale:5000"/>
  </hyperlinks>
  <pageMargins left="0.7" right="0.7" top="0.75" bottom="0.75" header="0.3" footer="0.3"/>
  <legacyDrawing r:id="rId9"/>
</worksheet>
</file>

<file path=xl/worksheets/sheet16.xml><?xml version="1.0" encoding="utf-8"?>
<worksheet xmlns="http://schemas.openxmlformats.org/spreadsheetml/2006/main" xmlns:r="http://schemas.openxmlformats.org/officeDocument/2006/relationships">
  <sheetPr codeName="Hoja20"/>
  <dimension ref="B1:K219"/>
  <sheetViews>
    <sheetView topLeftCell="A79" workbookViewId="0">
      <selection activeCell="G40" sqref="G40"/>
    </sheetView>
  </sheetViews>
  <sheetFormatPr baseColWidth="10" defaultRowHeight="15"/>
  <cols>
    <col min="1" max="1" width="3" customWidth="1"/>
    <col min="2" max="2" width="4.42578125" bestFit="1" customWidth="1"/>
    <col min="3" max="3" width="20"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98</v>
      </c>
      <c r="C3" s="33" t="s">
        <v>2</v>
      </c>
      <c r="D3" s="34" t="s">
        <v>1</v>
      </c>
      <c r="E3" s="34" t="s">
        <v>862</v>
      </c>
      <c r="F3" s="34" t="s">
        <v>863</v>
      </c>
      <c r="G3" s="34" t="s">
        <v>864</v>
      </c>
      <c r="H3" s="35" t="s">
        <v>358</v>
      </c>
    </row>
    <row r="4" spans="2:9" s="25" customFormat="1" ht="9" customHeight="1" thickBot="1">
      <c r="B4" s="46"/>
      <c r="C4" s="37"/>
      <c r="D4" s="37"/>
      <c r="E4" s="37"/>
      <c r="F4" s="37"/>
      <c r="G4" s="38"/>
      <c r="H4" s="39"/>
    </row>
    <row r="5" spans="2:9" s="25" customFormat="1" ht="16.5" thickBot="1">
      <c r="B5" s="40">
        <v>1</v>
      </c>
      <c r="C5" s="27" t="s">
        <v>4301</v>
      </c>
      <c r="D5" s="29" t="s">
        <v>174</v>
      </c>
      <c r="E5" s="27" t="s">
        <v>865</v>
      </c>
      <c r="F5" s="27" t="s">
        <v>866</v>
      </c>
      <c r="G5" s="26"/>
      <c r="H5" s="87" t="s">
        <v>2729</v>
      </c>
    </row>
    <row r="6" spans="2:9" s="25" customFormat="1" ht="16.5" thickBot="1">
      <c r="B6" s="40">
        <f t="shared" ref="B6:B79" si="0">B5+1</f>
        <v>2</v>
      </c>
      <c r="C6" s="27" t="s">
        <v>4301</v>
      </c>
      <c r="D6" s="29" t="s">
        <v>174</v>
      </c>
      <c r="E6" s="27" t="s">
        <v>865</v>
      </c>
      <c r="F6" s="27" t="s">
        <v>1728</v>
      </c>
      <c r="G6" s="26"/>
      <c r="H6" s="88" t="s">
        <v>3931</v>
      </c>
      <c r="I6" s="50" t="s">
        <v>2728</v>
      </c>
    </row>
    <row r="7" spans="2:9" s="25" customFormat="1" ht="16.5" thickBot="1">
      <c r="B7" s="40">
        <f t="shared" si="0"/>
        <v>3</v>
      </c>
      <c r="C7" s="27" t="s">
        <v>4301</v>
      </c>
      <c r="D7" s="29" t="s">
        <v>174</v>
      </c>
      <c r="E7" s="27" t="s">
        <v>865</v>
      </c>
      <c r="F7" s="27" t="s">
        <v>1333</v>
      </c>
      <c r="G7" s="27" t="s">
        <v>2731</v>
      </c>
      <c r="H7" s="89" t="s">
        <v>2730</v>
      </c>
    </row>
    <row r="8" spans="2:9" s="25" customFormat="1" ht="16.5" thickBot="1">
      <c r="B8" s="40">
        <f t="shared" si="0"/>
        <v>4</v>
      </c>
      <c r="C8" s="27" t="s">
        <v>4301</v>
      </c>
      <c r="D8" s="29" t="s">
        <v>174</v>
      </c>
      <c r="E8" s="27" t="s">
        <v>865</v>
      </c>
      <c r="F8" s="27" t="s">
        <v>1333</v>
      </c>
      <c r="G8" s="27" t="s">
        <v>2733</v>
      </c>
      <c r="H8" s="89" t="s">
        <v>2732</v>
      </c>
    </row>
    <row r="9" spans="2:9" s="25" customFormat="1" ht="16.5" thickBot="1">
      <c r="B9" s="40">
        <f t="shared" si="0"/>
        <v>5</v>
      </c>
      <c r="C9" s="27" t="s">
        <v>4301</v>
      </c>
      <c r="D9" s="29" t="s">
        <v>174</v>
      </c>
      <c r="E9" s="27" t="s">
        <v>865</v>
      </c>
      <c r="F9" s="27" t="s">
        <v>1333</v>
      </c>
      <c r="G9" s="27" t="s">
        <v>2735</v>
      </c>
      <c r="H9" s="90" t="s">
        <v>2734</v>
      </c>
    </row>
    <row r="10" spans="2:9" s="25" customFormat="1" ht="16.5" thickBot="1">
      <c r="B10" s="40">
        <f t="shared" si="0"/>
        <v>6</v>
      </c>
      <c r="C10" s="27" t="s">
        <v>4301</v>
      </c>
      <c r="D10" s="29" t="s">
        <v>174</v>
      </c>
      <c r="E10" s="27" t="s">
        <v>865</v>
      </c>
      <c r="F10" s="27" t="s">
        <v>1333</v>
      </c>
      <c r="G10" s="49" t="s">
        <v>2737</v>
      </c>
      <c r="H10" s="95" t="s">
        <v>2736</v>
      </c>
    </row>
    <row r="11" spans="2:9" s="25" customFormat="1" ht="48" thickBot="1">
      <c r="B11" s="40">
        <f t="shared" si="0"/>
        <v>7</v>
      </c>
      <c r="C11" s="27" t="s">
        <v>4301</v>
      </c>
      <c r="D11" s="29" t="s">
        <v>174</v>
      </c>
      <c r="E11" s="49" t="s">
        <v>865</v>
      </c>
      <c r="F11" s="49"/>
      <c r="G11" s="49" t="s">
        <v>3579</v>
      </c>
      <c r="H11" s="95" t="s">
        <v>3578</v>
      </c>
    </row>
    <row r="12" spans="2:9" s="25" customFormat="1" ht="16.5" thickBot="1">
      <c r="B12" s="40">
        <f t="shared" si="0"/>
        <v>8</v>
      </c>
      <c r="C12" s="27" t="s">
        <v>4301</v>
      </c>
      <c r="D12" s="29" t="s">
        <v>174</v>
      </c>
      <c r="E12" s="49" t="s">
        <v>865</v>
      </c>
      <c r="F12" s="49"/>
      <c r="G12" s="49" t="s">
        <v>3582</v>
      </c>
      <c r="H12" s="95" t="s">
        <v>3932</v>
      </c>
    </row>
    <row r="13" spans="2:9" s="25" customFormat="1" ht="16.5" thickBot="1">
      <c r="B13" s="40">
        <f t="shared" si="0"/>
        <v>9</v>
      </c>
      <c r="C13" s="27" t="s">
        <v>4301</v>
      </c>
      <c r="D13" s="29" t="s">
        <v>174</v>
      </c>
      <c r="E13" s="49" t="s">
        <v>865</v>
      </c>
      <c r="F13" s="49"/>
      <c r="G13" s="49" t="s">
        <v>2738</v>
      </c>
      <c r="H13" s="95" t="s">
        <v>3933</v>
      </c>
    </row>
    <row r="14" spans="2:9" s="25" customFormat="1" ht="16.5" thickBot="1">
      <c r="B14" s="40">
        <f t="shared" si="0"/>
        <v>10</v>
      </c>
      <c r="C14" s="27" t="s">
        <v>4301</v>
      </c>
      <c r="D14" s="29" t="s">
        <v>174</v>
      </c>
      <c r="E14" s="49" t="s">
        <v>865</v>
      </c>
      <c r="F14" s="49"/>
      <c r="G14" s="49" t="s">
        <v>3580</v>
      </c>
      <c r="H14" s="95" t="s">
        <v>3934</v>
      </c>
    </row>
    <row r="15" spans="2:9" s="25" customFormat="1" ht="16.5" thickBot="1">
      <c r="B15" s="40">
        <f t="shared" si="0"/>
        <v>11</v>
      </c>
      <c r="C15" s="27" t="s">
        <v>4301</v>
      </c>
      <c r="D15" s="29" t="s">
        <v>174</v>
      </c>
      <c r="E15" s="49" t="s">
        <v>865</v>
      </c>
      <c r="F15" s="49"/>
      <c r="G15" s="49" t="s">
        <v>2739</v>
      </c>
      <c r="H15" s="95" t="s">
        <v>3583</v>
      </c>
    </row>
    <row r="16" spans="2:9" s="25" customFormat="1" ht="16.5" thickBot="1">
      <c r="B16" s="40">
        <f t="shared" si="0"/>
        <v>12</v>
      </c>
      <c r="C16" s="27" t="s">
        <v>4301</v>
      </c>
      <c r="D16" s="29" t="s">
        <v>174</v>
      </c>
      <c r="E16" s="49" t="s">
        <v>865</v>
      </c>
      <c r="F16" s="49"/>
      <c r="G16" s="49" t="s">
        <v>2740</v>
      </c>
      <c r="H16" s="95" t="s">
        <v>3584</v>
      </c>
    </row>
    <row r="17" spans="2:9" s="25" customFormat="1" ht="9" customHeight="1" thickBot="1">
      <c r="B17" s="23">
        <f t="shared" si="0"/>
        <v>13</v>
      </c>
      <c r="C17" s="54"/>
      <c r="D17" s="54"/>
      <c r="E17" s="54"/>
      <c r="F17" s="54"/>
      <c r="G17" s="54"/>
      <c r="H17" s="91"/>
    </row>
    <row r="18" spans="2:9" s="25" customFormat="1" ht="9" customHeight="1" thickBot="1">
      <c r="B18" s="23">
        <f t="shared" si="0"/>
        <v>14</v>
      </c>
      <c r="C18" s="37"/>
      <c r="D18" s="37"/>
      <c r="E18" s="37"/>
      <c r="F18" s="37"/>
      <c r="G18" s="38"/>
      <c r="H18" s="96"/>
    </row>
    <row r="19" spans="2:9" s="25" customFormat="1" ht="16.5" thickBot="1">
      <c r="B19" s="40">
        <f t="shared" si="0"/>
        <v>15</v>
      </c>
      <c r="C19" s="27" t="s">
        <v>4301</v>
      </c>
      <c r="D19" s="29" t="s">
        <v>200</v>
      </c>
      <c r="E19" s="27" t="s">
        <v>865</v>
      </c>
      <c r="F19" s="27" t="s">
        <v>866</v>
      </c>
      <c r="G19" s="62"/>
      <c r="H19" s="88" t="s">
        <v>2741</v>
      </c>
    </row>
    <row r="20" spans="2:9" s="25" customFormat="1" ht="16.5" thickBot="1">
      <c r="B20" s="40">
        <f t="shared" si="0"/>
        <v>16</v>
      </c>
      <c r="C20" s="27" t="s">
        <v>4301</v>
      </c>
      <c r="D20" s="29" t="s">
        <v>200</v>
      </c>
      <c r="E20" s="27" t="s">
        <v>865</v>
      </c>
      <c r="F20" s="27" t="s">
        <v>1728</v>
      </c>
      <c r="G20" s="26"/>
      <c r="H20" s="88" t="s">
        <v>3935</v>
      </c>
      <c r="I20" s="50" t="s">
        <v>2745</v>
      </c>
    </row>
    <row r="21" spans="2:9" s="25" customFormat="1" ht="16.5" thickBot="1">
      <c r="B21" s="40">
        <f t="shared" si="0"/>
        <v>17</v>
      </c>
      <c r="C21" s="27" t="s">
        <v>4301</v>
      </c>
      <c r="D21" s="29" t="s">
        <v>200</v>
      </c>
      <c r="E21" s="27" t="s">
        <v>865</v>
      </c>
      <c r="F21" s="27" t="s">
        <v>1333</v>
      </c>
      <c r="G21" s="27" t="s">
        <v>870</v>
      </c>
      <c r="H21" s="88" t="s">
        <v>2742</v>
      </c>
    </row>
    <row r="22" spans="2:9" s="25" customFormat="1" ht="16.5" thickBot="1">
      <c r="B22" s="40">
        <f t="shared" si="0"/>
        <v>18</v>
      </c>
      <c r="C22" s="27" t="s">
        <v>4301</v>
      </c>
      <c r="D22" s="29" t="s">
        <v>200</v>
      </c>
      <c r="E22" s="27" t="s">
        <v>865</v>
      </c>
      <c r="F22" s="27" t="s">
        <v>1333</v>
      </c>
      <c r="G22" s="27" t="s">
        <v>874</v>
      </c>
      <c r="H22" s="88" t="s">
        <v>2742</v>
      </c>
    </row>
    <row r="23" spans="2:9" s="25" customFormat="1" ht="16.5" thickBot="1">
      <c r="B23" s="40">
        <f t="shared" si="0"/>
        <v>19</v>
      </c>
      <c r="C23" s="27" t="s">
        <v>4301</v>
      </c>
      <c r="D23" s="29" t="s">
        <v>200</v>
      </c>
      <c r="E23" s="27" t="s">
        <v>865</v>
      </c>
      <c r="F23" s="27" t="s">
        <v>878</v>
      </c>
      <c r="G23" s="27"/>
      <c r="H23" s="88" t="s">
        <v>2743</v>
      </c>
    </row>
    <row r="24" spans="2:9" s="25" customFormat="1" ht="9" customHeight="1" thickBot="1">
      <c r="B24" s="23">
        <f t="shared" si="0"/>
        <v>20</v>
      </c>
      <c r="C24" s="57"/>
      <c r="D24" s="57"/>
      <c r="E24" s="57"/>
      <c r="F24" s="57"/>
      <c r="G24" s="57"/>
      <c r="H24" s="94"/>
    </row>
    <row r="25" spans="2:9" s="25" customFormat="1" ht="9" customHeight="1" thickBot="1">
      <c r="B25" s="23">
        <f t="shared" si="0"/>
        <v>21</v>
      </c>
      <c r="C25" s="37"/>
      <c r="D25" s="37"/>
      <c r="E25" s="37"/>
      <c r="F25" s="37"/>
      <c r="G25" s="38"/>
      <c r="H25" s="94"/>
    </row>
    <row r="26" spans="2:9" s="25" customFormat="1" ht="16.5" thickBot="1">
      <c r="B26" s="40">
        <f t="shared" si="0"/>
        <v>22</v>
      </c>
      <c r="C26" s="27" t="s">
        <v>4301</v>
      </c>
      <c r="D26" s="29" t="s">
        <v>264</v>
      </c>
      <c r="E26" s="27" t="s">
        <v>865</v>
      </c>
      <c r="F26" s="27" t="s">
        <v>866</v>
      </c>
      <c r="G26" s="26"/>
      <c r="H26" s="88" t="s">
        <v>2746</v>
      </c>
    </row>
    <row r="27" spans="2:9" s="25" customFormat="1" ht="16.5" thickBot="1">
      <c r="B27" s="40">
        <f t="shared" si="0"/>
        <v>23</v>
      </c>
      <c r="C27" s="27" t="s">
        <v>4301</v>
      </c>
      <c r="D27" s="29" t="s">
        <v>264</v>
      </c>
      <c r="E27" s="27" t="s">
        <v>865</v>
      </c>
      <c r="F27" s="27" t="s">
        <v>1728</v>
      </c>
      <c r="G27" s="26"/>
      <c r="H27" s="88" t="s">
        <v>3936</v>
      </c>
      <c r="I27" s="50" t="s">
        <v>2744</v>
      </c>
    </row>
    <row r="28" spans="2:9" s="25" customFormat="1" ht="16.5" thickBot="1">
      <c r="B28" s="40">
        <f t="shared" si="0"/>
        <v>24</v>
      </c>
      <c r="C28" s="27" t="s">
        <v>4301</v>
      </c>
      <c r="D28" s="29" t="s">
        <v>264</v>
      </c>
      <c r="E28" s="27" t="s">
        <v>865</v>
      </c>
      <c r="F28" s="27" t="s">
        <v>1333</v>
      </c>
      <c r="G28" s="27" t="s">
        <v>870</v>
      </c>
      <c r="H28" s="88" t="s">
        <v>3937</v>
      </c>
    </row>
    <row r="29" spans="2:9" s="25" customFormat="1" ht="16.5" thickBot="1">
      <c r="B29" s="40">
        <f t="shared" si="0"/>
        <v>25</v>
      </c>
      <c r="C29" s="27" t="s">
        <v>4301</v>
      </c>
      <c r="D29" s="29" t="s">
        <v>264</v>
      </c>
      <c r="E29" s="27" t="s">
        <v>865</v>
      </c>
      <c r="F29" s="27" t="s">
        <v>1333</v>
      </c>
      <c r="G29" s="27" t="s">
        <v>874</v>
      </c>
      <c r="H29" s="88" t="s">
        <v>3937</v>
      </c>
    </row>
    <row r="30" spans="2:9" s="25" customFormat="1" ht="16.5" thickBot="1">
      <c r="B30" s="40">
        <f t="shared" si="0"/>
        <v>26</v>
      </c>
      <c r="C30" s="27" t="s">
        <v>4301</v>
      </c>
      <c r="D30" s="29" t="s">
        <v>264</v>
      </c>
      <c r="E30" s="27" t="s">
        <v>865</v>
      </c>
      <c r="F30" s="27"/>
      <c r="G30" s="27" t="s">
        <v>3585</v>
      </c>
      <c r="H30" s="88" t="s">
        <v>3938</v>
      </c>
    </row>
    <row r="31" spans="2:9" s="25" customFormat="1" ht="16.5" thickBot="1">
      <c r="B31" s="40">
        <f t="shared" si="0"/>
        <v>27</v>
      </c>
      <c r="C31" s="27" t="s">
        <v>4301</v>
      </c>
      <c r="D31" s="29" t="s">
        <v>264</v>
      </c>
      <c r="E31" s="27" t="s">
        <v>865</v>
      </c>
      <c r="F31" s="27"/>
      <c r="G31" s="49" t="s">
        <v>3581</v>
      </c>
      <c r="H31" s="101" t="s">
        <v>3586</v>
      </c>
    </row>
    <row r="32" spans="2:9" s="25" customFormat="1" ht="9" customHeight="1" thickBot="1">
      <c r="B32" s="23">
        <f t="shared" si="0"/>
        <v>28</v>
      </c>
      <c r="C32" s="43"/>
      <c r="D32" s="43"/>
      <c r="E32" s="43"/>
      <c r="F32" s="43"/>
      <c r="G32" s="43"/>
      <c r="H32" s="96"/>
    </row>
    <row r="33" spans="2:9" s="25" customFormat="1" ht="9" customHeight="1" thickBot="1">
      <c r="B33" s="23">
        <f t="shared" si="0"/>
        <v>29</v>
      </c>
      <c r="C33" s="37"/>
      <c r="D33" s="37"/>
      <c r="E33" s="37"/>
      <c r="F33" s="37"/>
      <c r="G33" s="38"/>
      <c r="H33" s="94"/>
    </row>
    <row r="34" spans="2:9" s="25" customFormat="1" ht="16.5" thickBot="1">
      <c r="B34" s="40">
        <f t="shared" si="0"/>
        <v>30</v>
      </c>
      <c r="C34" s="27" t="s">
        <v>4301</v>
      </c>
      <c r="D34" s="29" t="s">
        <v>265</v>
      </c>
      <c r="E34" s="27" t="s">
        <v>865</v>
      </c>
      <c r="F34" s="27" t="s">
        <v>866</v>
      </c>
      <c r="G34" s="26"/>
      <c r="H34" s="88" t="s">
        <v>2748</v>
      </c>
    </row>
    <row r="35" spans="2:9" s="25" customFormat="1" ht="32.25" thickBot="1">
      <c r="B35" s="40">
        <f t="shared" si="0"/>
        <v>31</v>
      </c>
      <c r="C35" s="27" t="s">
        <v>4301</v>
      </c>
      <c r="D35" s="29" t="s">
        <v>265</v>
      </c>
      <c r="E35" s="27" t="s">
        <v>865</v>
      </c>
      <c r="F35" s="27" t="s">
        <v>1728</v>
      </c>
      <c r="G35" s="26"/>
      <c r="H35" s="89" t="s">
        <v>3939</v>
      </c>
      <c r="I35" s="50" t="s">
        <v>2747</v>
      </c>
    </row>
    <row r="36" spans="2:9" s="25" customFormat="1" ht="16.5" thickBot="1">
      <c r="B36" s="40">
        <f t="shared" si="0"/>
        <v>32</v>
      </c>
      <c r="C36" s="27" t="s">
        <v>4301</v>
      </c>
      <c r="D36" s="29" t="s">
        <v>265</v>
      </c>
      <c r="E36" s="27" t="s">
        <v>865</v>
      </c>
      <c r="F36" s="27" t="s">
        <v>1333</v>
      </c>
      <c r="G36" s="27" t="s">
        <v>870</v>
      </c>
      <c r="H36" s="89" t="s">
        <v>2749</v>
      </c>
    </row>
    <row r="37" spans="2:9" s="25" customFormat="1" ht="16.5" thickBot="1">
      <c r="B37" s="40">
        <f t="shared" si="0"/>
        <v>33</v>
      </c>
      <c r="C37" s="27" t="s">
        <v>4301</v>
      </c>
      <c r="D37" s="29" t="s">
        <v>265</v>
      </c>
      <c r="E37" s="27" t="s">
        <v>865</v>
      </c>
      <c r="F37" s="27" t="s">
        <v>1333</v>
      </c>
      <c r="G37" s="27" t="s">
        <v>874</v>
      </c>
      <c r="H37" s="89" t="s">
        <v>2749</v>
      </c>
    </row>
    <row r="38" spans="2:9" s="25" customFormat="1" ht="16.5" thickBot="1">
      <c r="B38" s="40">
        <f t="shared" si="0"/>
        <v>34</v>
      </c>
      <c r="C38" s="27" t="s">
        <v>4301</v>
      </c>
      <c r="D38" s="82" t="s">
        <v>265</v>
      </c>
      <c r="E38" s="27" t="s">
        <v>880</v>
      </c>
      <c r="F38" s="27" t="s">
        <v>1779</v>
      </c>
      <c r="G38" s="27" t="s">
        <v>3587</v>
      </c>
      <c r="H38" s="104" t="s">
        <v>3588</v>
      </c>
    </row>
    <row r="39" spans="2:9" s="25" customFormat="1" ht="16.5" thickBot="1">
      <c r="B39" s="40">
        <f t="shared" si="0"/>
        <v>35</v>
      </c>
      <c r="C39" s="27" t="s">
        <v>4301</v>
      </c>
      <c r="D39" s="29" t="s">
        <v>265</v>
      </c>
      <c r="E39" s="27" t="s">
        <v>865</v>
      </c>
      <c r="F39" s="27"/>
      <c r="G39" s="27" t="s">
        <v>2750</v>
      </c>
      <c r="H39" s="89" t="s">
        <v>3589</v>
      </c>
    </row>
    <row r="40" spans="2:9" s="25" customFormat="1" ht="16.5" thickBot="1">
      <c r="B40" s="40">
        <f t="shared" si="0"/>
        <v>36</v>
      </c>
      <c r="C40" s="27" t="s">
        <v>4301</v>
      </c>
      <c r="D40" s="29" t="s">
        <v>265</v>
      </c>
      <c r="E40" s="27" t="s">
        <v>865</v>
      </c>
      <c r="F40" s="27"/>
      <c r="G40" s="27" t="s">
        <v>3590</v>
      </c>
      <c r="H40" s="89" t="s">
        <v>3597</v>
      </c>
    </row>
    <row r="41" spans="2:9" s="25" customFormat="1" ht="16.5" thickBot="1">
      <c r="B41" s="40">
        <f t="shared" si="0"/>
        <v>37</v>
      </c>
      <c r="C41" s="27" t="s">
        <v>4301</v>
      </c>
      <c r="D41" s="29" t="s">
        <v>265</v>
      </c>
      <c r="E41" s="27" t="s">
        <v>865</v>
      </c>
      <c r="F41" s="27"/>
      <c r="G41" s="27" t="s">
        <v>3591</v>
      </c>
      <c r="H41" s="89" t="s">
        <v>3594</v>
      </c>
    </row>
    <row r="42" spans="2:9" s="25" customFormat="1" ht="16.5" thickBot="1">
      <c r="B42" s="40">
        <f t="shared" si="0"/>
        <v>38</v>
      </c>
      <c r="C42" s="27" t="s">
        <v>4301</v>
      </c>
      <c r="D42" s="29" t="s">
        <v>265</v>
      </c>
      <c r="E42" s="27" t="s">
        <v>865</v>
      </c>
      <c r="F42" s="27"/>
      <c r="G42" s="27" t="s">
        <v>3592</v>
      </c>
      <c r="H42" s="89" t="s">
        <v>3593</v>
      </c>
    </row>
    <row r="43" spans="2:9" s="25" customFormat="1" ht="16.5" thickBot="1">
      <c r="B43" s="40">
        <f t="shared" si="0"/>
        <v>39</v>
      </c>
      <c r="C43" s="27" t="s">
        <v>4301</v>
      </c>
      <c r="D43" s="29" t="s">
        <v>265</v>
      </c>
      <c r="E43" s="27" t="s">
        <v>865</v>
      </c>
      <c r="F43" s="27"/>
      <c r="G43" s="27" t="s">
        <v>3595</v>
      </c>
      <c r="H43" s="89" t="s">
        <v>3596</v>
      </c>
    </row>
    <row r="44" spans="2:9" s="25" customFormat="1" ht="16.5" thickBot="1">
      <c r="B44" s="40">
        <f t="shared" si="0"/>
        <v>40</v>
      </c>
      <c r="C44" s="27" t="s">
        <v>4301</v>
      </c>
      <c r="D44" s="29" t="s">
        <v>265</v>
      </c>
      <c r="E44" s="27" t="s">
        <v>865</v>
      </c>
      <c r="F44" s="27"/>
      <c r="G44" s="27" t="s">
        <v>3599</v>
      </c>
      <c r="H44" s="89" t="s">
        <v>3598</v>
      </c>
    </row>
    <row r="45" spans="2:9" s="25" customFormat="1" ht="9" customHeight="1" thickBot="1">
      <c r="B45" s="23">
        <f t="shared" si="0"/>
        <v>41</v>
      </c>
      <c r="C45" s="43"/>
      <c r="D45" s="43"/>
      <c r="E45" s="43"/>
      <c r="F45" s="43"/>
      <c r="G45" s="43"/>
      <c r="H45" s="94"/>
    </row>
    <row r="46" spans="2:9" s="25" customFormat="1" ht="9" customHeight="1" thickBot="1">
      <c r="B46" s="23">
        <f t="shared" si="0"/>
        <v>42</v>
      </c>
      <c r="C46" s="37"/>
      <c r="D46" s="37"/>
      <c r="E46" s="37"/>
      <c r="F46" s="37"/>
      <c r="G46" s="38"/>
      <c r="H46" s="94"/>
    </row>
    <row r="47" spans="2:9" s="25" customFormat="1" ht="16.5" thickBot="1">
      <c r="B47" s="40">
        <f t="shared" si="0"/>
        <v>43</v>
      </c>
      <c r="C47" s="27" t="s">
        <v>4301</v>
      </c>
      <c r="D47" s="29" t="s">
        <v>266</v>
      </c>
      <c r="E47" s="27" t="s">
        <v>865</v>
      </c>
      <c r="F47" s="27" t="s">
        <v>866</v>
      </c>
      <c r="G47" s="26"/>
      <c r="H47" s="88" t="s">
        <v>2752</v>
      </c>
    </row>
    <row r="48" spans="2:9" s="25" customFormat="1" ht="16.5" thickBot="1">
      <c r="B48" s="40">
        <f t="shared" si="0"/>
        <v>44</v>
      </c>
      <c r="C48" s="27" t="s">
        <v>4301</v>
      </c>
      <c r="D48" s="29" t="s">
        <v>266</v>
      </c>
      <c r="E48" s="27" t="s">
        <v>865</v>
      </c>
      <c r="F48" s="27" t="s">
        <v>1728</v>
      </c>
      <c r="G48" s="26"/>
      <c r="H48" s="88" t="s">
        <v>3940</v>
      </c>
      <c r="I48" s="50" t="s">
        <v>2751</v>
      </c>
    </row>
    <row r="49" spans="2:9" s="25" customFormat="1" ht="16.5" thickBot="1">
      <c r="B49" s="40">
        <f t="shared" si="0"/>
        <v>45</v>
      </c>
      <c r="C49" s="27" t="s">
        <v>4301</v>
      </c>
      <c r="D49" s="29" t="s">
        <v>266</v>
      </c>
      <c r="E49" s="27" t="s">
        <v>865</v>
      </c>
      <c r="F49" s="27" t="s">
        <v>1333</v>
      </c>
      <c r="G49" s="27" t="s">
        <v>870</v>
      </c>
      <c r="H49" s="89" t="s">
        <v>2753</v>
      </c>
    </row>
    <row r="50" spans="2:9" s="25" customFormat="1" ht="16.5" thickBot="1">
      <c r="B50" s="40">
        <f t="shared" si="0"/>
        <v>46</v>
      </c>
      <c r="C50" s="27" t="s">
        <v>4301</v>
      </c>
      <c r="D50" s="29" t="s">
        <v>266</v>
      </c>
      <c r="E50" s="27" t="s">
        <v>865</v>
      </c>
      <c r="F50" s="27" t="s">
        <v>1333</v>
      </c>
      <c r="G50" s="27" t="s">
        <v>874</v>
      </c>
      <c r="H50" s="89" t="s">
        <v>2753</v>
      </c>
    </row>
    <row r="51" spans="2:9" s="25" customFormat="1" ht="16.5" thickBot="1">
      <c r="B51" s="40">
        <f t="shared" si="0"/>
        <v>47</v>
      </c>
      <c r="C51" s="27" t="s">
        <v>4301</v>
      </c>
      <c r="D51" s="29" t="s">
        <v>266</v>
      </c>
      <c r="E51" s="27" t="s">
        <v>865</v>
      </c>
      <c r="F51" s="27"/>
      <c r="G51" s="49" t="s">
        <v>2754</v>
      </c>
      <c r="H51" s="90" t="s">
        <v>3600</v>
      </c>
    </row>
    <row r="52" spans="2:9" s="25" customFormat="1" ht="9" customHeight="1" thickBot="1">
      <c r="B52" s="23">
        <f t="shared" si="0"/>
        <v>48</v>
      </c>
      <c r="C52" s="43"/>
      <c r="D52" s="43"/>
      <c r="E52" s="43"/>
      <c r="F52" s="43"/>
      <c r="G52" s="43"/>
      <c r="H52" s="96"/>
    </row>
    <row r="53" spans="2:9" s="25" customFormat="1" ht="9" customHeight="1" thickBot="1">
      <c r="B53" s="23">
        <f t="shared" si="0"/>
        <v>49</v>
      </c>
      <c r="C53" s="37"/>
      <c r="D53" s="37"/>
      <c r="E53" s="37"/>
      <c r="F53" s="37"/>
      <c r="G53" s="38"/>
      <c r="H53" s="94"/>
    </row>
    <row r="54" spans="2:9" s="25" customFormat="1" ht="16.5" thickBot="1">
      <c r="B54" s="40">
        <f t="shared" si="0"/>
        <v>50</v>
      </c>
      <c r="C54" s="27" t="s">
        <v>4301</v>
      </c>
      <c r="D54" s="29" t="s">
        <v>267</v>
      </c>
      <c r="E54" s="27" t="s">
        <v>865</v>
      </c>
      <c r="F54" s="27" t="s">
        <v>866</v>
      </c>
      <c r="G54" s="26"/>
      <c r="H54" s="88" t="s">
        <v>2756</v>
      </c>
    </row>
    <row r="55" spans="2:9" s="25" customFormat="1" ht="16.5" thickBot="1">
      <c r="B55" s="40">
        <f t="shared" si="0"/>
        <v>51</v>
      </c>
      <c r="C55" s="27" t="s">
        <v>4301</v>
      </c>
      <c r="D55" s="29" t="s">
        <v>267</v>
      </c>
      <c r="E55" s="27" t="s">
        <v>865</v>
      </c>
      <c r="F55" s="27" t="s">
        <v>1728</v>
      </c>
      <c r="G55" s="26"/>
      <c r="H55" s="88" t="s">
        <v>3941</v>
      </c>
      <c r="I55" s="50" t="s">
        <v>2755</v>
      </c>
    </row>
    <row r="56" spans="2:9" s="25" customFormat="1" ht="16.5" thickBot="1">
      <c r="B56" s="40">
        <f t="shared" si="0"/>
        <v>52</v>
      </c>
      <c r="C56" s="27" t="s">
        <v>4301</v>
      </c>
      <c r="D56" s="29" t="s">
        <v>267</v>
      </c>
      <c r="E56" s="27" t="s">
        <v>865</v>
      </c>
      <c r="F56" s="27" t="s">
        <v>1333</v>
      </c>
      <c r="G56" s="27" t="s">
        <v>870</v>
      </c>
      <c r="H56" s="89" t="s">
        <v>2757</v>
      </c>
    </row>
    <row r="57" spans="2:9" s="25" customFormat="1" ht="16.5" thickBot="1">
      <c r="B57" s="40">
        <f t="shared" si="0"/>
        <v>53</v>
      </c>
      <c r="C57" s="27" t="s">
        <v>4301</v>
      </c>
      <c r="D57" s="29" t="s">
        <v>267</v>
      </c>
      <c r="E57" s="27" t="s">
        <v>865</v>
      </c>
      <c r="F57" s="27" t="s">
        <v>1333</v>
      </c>
      <c r="G57" s="27" t="s">
        <v>874</v>
      </c>
      <c r="H57" s="89" t="s">
        <v>2757</v>
      </c>
    </row>
    <row r="58" spans="2:9" s="25" customFormat="1" ht="9" customHeight="1" thickBot="1">
      <c r="B58" s="23">
        <f t="shared" si="0"/>
        <v>54</v>
      </c>
      <c r="C58" s="43"/>
      <c r="D58" s="43"/>
      <c r="E58" s="43"/>
      <c r="F58" s="43"/>
      <c r="G58" s="43"/>
      <c r="H58" s="94"/>
    </row>
    <row r="59" spans="2:9" s="25" customFormat="1" ht="9" customHeight="1" thickBot="1">
      <c r="B59" s="23">
        <f t="shared" si="0"/>
        <v>55</v>
      </c>
      <c r="C59" s="37"/>
      <c r="D59" s="37"/>
      <c r="E59" s="37"/>
      <c r="F59" s="37"/>
      <c r="G59" s="38"/>
      <c r="H59" s="94"/>
    </row>
    <row r="60" spans="2:9" s="25" customFormat="1" ht="16.5" thickBot="1">
      <c r="B60" s="40">
        <f t="shared" si="0"/>
        <v>56</v>
      </c>
      <c r="C60" s="27" t="s">
        <v>4301</v>
      </c>
      <c r="D60" s="69" t="s">
        <v>173</v>
      </c>
      <c r="E60" s="27"/>
      <c r="F60" s="27" t="s">
        <v>866</v>
      </c>
      <c r="G60" s="26"/>
      <c r="H60" s="88"/>
    </row>
    <row r="61" spans="2:9" s="25" customFormat="1" ht="16.5" thickBot="1">
      <c r="B61" s="40">
        <f t="shared" si="0"/>
        <v>57</v>
      </c>
      <c r="C61" s="27" t="s">
        <v>4301</v>
      </c>
      <c r="D61" s="69" t="s">
        <v>173</v>
      </c>
      <c r="E61" s="27"/>
      <c r="F61" s="27" t="s">
        <v>1728</v>
      </c>
      <c r="G61" s="26"/>
      <c r="H61" s="88"/>
      <c r="I61" s="50"/>
    </row>
    <row r="62" spans="2:9" s="25" customFormat="1" ht="16.5" thickBot="1">
      <c r="B62" s="40">
        <f t="shared" si="0"/>
        <v>58</v>
      </c>
      <c r="C62" s="27" t="s">
        <v>4301</v>
      </c>
      <c r="D62" s="69" t="s">
        <v>173</v>
      </c>
      <c r="E62" s="27"/>
      <c r="F62" s="27" t="s">
        <v>1333</v>
      </c>
      <c r="G62" s="27"/>
      <c r="H62" s="89"/>
    </row>
    <row r="63" spans="2:9" s="25" customFormat="1" ht="16.5" thickBot="1">
      <c r="B63" s="40">
        <f t="shared" si="0"/>
        <v>59</v>
      </c>
      <c r="C63" s="27" t="s">
        <v>4301</v>
      </c>
      <c r="D63" s="69" t="s">
        <v>173</v>
      </c>
      <c r="E63" s="27"/>
      <c r="F63" s="27" t="s">
        <v>1333</v>
      </c>
      <c r="G63" s="27"/>
      <c r="H63" s="89"/>
    </row>
    <row r="64" spans="2:9" s="25" customFormat="1" ht="16.5" thickBot="1">
      <c r="B64" s="40">
        <f t="shared" si="0"/>
        <v>60</v>
      </c>
      <c r="C64" s="27" t="s">
        <v>4301</v>
      </c>
      <c r="D64" s="69" t="s">
        <v>173</v>
      </c>
      <c r="E64" s="27"/>
      <c r="F64" s="27" t="s">
        <v>1333</v>
      </c>
      <c r="G64" s="27"/>
      <c r="H64" s="89"/>
    </row>
    <row r="65" spans="2:9" s="25" customFormat="1" ht="16.5" thickBot="1">
      <c r="B65" s="40">
        <f t="shared" si="0"/>
        <v>61</v>
      </c>
      <c r="C65" s="27" t="s">
        <v>4301</v>
      </c>
      <c r="D65" s="69" t="s">
        <v>173</v>
      </c>
      <c r="E65" s="27"/>
      <c r="F65" s="27"/>
      <c r="G65" s="27"/>
      <c r="H65" s="89"/>
    </row>
    <row r="66" spans="2:9" s="25" customFormat="1" ht="9" customHeight="1" thickBot="1">
      <c r="B66" s="23">
        <f t="shared" si="0"/>
        <v>62</v>
      </c>
      <c r="C66" s="43"/>
      <c r="D66" s="43"/>
      <c r="E66" s="43"/>
      <c r="F66" s="43"/>
      <c r="G66" s="43"/>
      <c r="H66" s="94"/>
    </row>
    <row r="67" spans="2:9" s="25" customFormat="1" ht="9" customHeight="1" thickBot="1">
      <c r="B67" s="23">
        <f t="shared" si="0"/>
        <v>63</v>
      </c>
      <c r="C67" s="37"/>
      <c r="D67" s="37"/>
      <c r="E67" s="37"/>
      <c r="F67" s="37"/>
      <c r="G67" s="38"/>
      <c r="H67" s="94"/>
    </row>
    <row r="68" spans="2:9" s="25" customFormat="1" ht="16.5" thickBot="1">
      <c r="B68" s="40">
        <f t="shared" si="0"/>
        <v>64</v>
      </c>
      <c r="C68" s="27" t="s">
        <v>4301</v>
      </c>
      <c r="D68" s="29" t="s">
        <v>268</v>
      </c>
      <c r="E68" s="27" t="s">
        <v>865</v>
      </c>
      <c r="F68" s="27" t="s">
        <v>866</v>
      </c>
      <c r="G68" s="26"/>
      <c r="H68" s="88" t="s">
        <v>2759</v>
      </c>
    </row>
    <row r="69" spans="2:9" s="25" customFormat="1" ht="16.5" thickBot="1">
      <c r="B69" s="40">
        <f t="shared" si="0"/>
        <v>65</v>
      </c>
      <c r="C69" s="27" t="s">
        <v>4301</v>
      </c>
      <c r="D69" s="29" t="s">
        <v>268</v>
      </c>
      <c r="E69" s="27" t="s">
        <v>865</v>
      </c>
      <c r="F69" s="27" t="s">
        <v>1728</v>
      </c>
      <c r="G69" s="26"/>
      <c r="H69" s="88" t="s">
        <v>3942</v>
      </c>
      <c r="I69" s="50" t="s">
        <v>2758</v>
      </c>
    </row>
    <row r="70" spans="2:9" s="25" customFormat="1" ht="16.5" thickBot="1">
      <c r="B70" s="40">
        <f t="shared" si="0"/>
        <v>66</v>
      </c>
      <c r="C70" s="27" t="s">
        <v>4301</v>
      </c>
      <c r="D70" s="29" t="s">
        <v>268</v>
      </c>
      <c r="E70" s="27" t="s">
        <v>865</v>
      </c>
      <c r="F70" s="27" t="s">
        <v>1333</v>
      </c>
      <c r="G70" s="27" t="s">
        <v>870</v>
      </c>
      <c r="H70" s="89" t="s">
        <v>2760</v>
      </c>
    </row>
    <row r="71" spans="2:9" s="25" customFormat="1" ht="16.5" thickBot="1">
      <c r="B71" s="40">
        <f t="shared" si="0"/>
        <v>67</v>
      </c>
      <c r="C71" s="27" t="s">
        <v>4301</v>
      </c>
      <c r="D71" s="29" t="s">
        <v>268</v>
      </c>
      <c r="E71" s="27" t="s">
        <v>865</v>
      </c>
      <c r="F71" s="27" t="s">
        <v>1333</v>
      </c>
      <c r="G71" s="27" t="s">
        <v>874</v>
      </c>
      <c r="H71" s="89" t="s">
        <v>2760</v>
      </c>
    </row>
    <row r="72" spans="2:9" s="25" customFormat="1" ht="16.5" thickBot="1">
      <c r="B72" s="40">
        <f t="shared" si="0"/>
        <v>68</v>
      </c>
      <c r="C72" s="27" t="s">
        <v>4301</v>
      </c>
      <c r="D72" s="29" t="s">
        <v>268</v>
      </c>
      <c r="E72" s="27" t="s">
        <v>865</v>
      </c>
      <c r="F72" s="27"/>
      <c r="G72" s="27" t="s">
        <v>3609</v>
      </c>
      <c r="H72" s="89" t="s">
        <v>3603</v>
      </c>
    </row>
    <row r="73" spans="2:9" s="25" customFormat="1" ht="16.5" thickBot="1">
      <c r="B73" s="40">
        <f t="shared" si="0"/>
        <v>69</v>
      </c>
      <c r="C73" s="27" t="s">
        <v>4301</v>
      </c>
      <c r="D73" s="29" t="s">
        <v>268</v>
      </c>
      <c r="E73" s="27" t="s">
        <v>865</v>
      </c>
      <c r="F73" s="27"/>
      <c r="G73" s="27" t="s">
        <v>3610</v>
      </c>
      <c r="H73" s="89" t="s">
        <v>3943</v>
      </c>
    </row>
    <row r="74" spans="2:9" s="25" customFormat="1" ht="16.5" thickBot="1">
      <c r="B74" s="40">
        <f t="shared" si="0"/>
        <v>70</v>
      </c>
      <c r="C74" s="27" t="s">
        <v>4301</v>
      </c>
      <c r="D74" s="29" t="s">
        <v>268</v>
      </c>
      <c r="E74" s="27" t="s">
        <v>865</v>
      </c>
      <c r="F74" s="27"/>
      <c r="G74" s="27" t="s">
        <v>3611</v>
      </c>
      <c r="H74" s="89" t="s">
        <v>3602</v>
      </c>
    </row>
    <row r="75" spans="2:9" s="25" customFormat="1" ht="16.5" thickBot="1">
      <c r="B75" s="40">
        <f t="shared" si="0"/>
        <v>71</v>
      </c>
      <c r="C75" s="27" t="s">
        <v>4301</v>
      </c>
      <c r="D75" s="29" t="s">
        <v>268</v>
      </c>
      <c r="E75" s="27" t="s">
        <v>865</v>
      </c>
      <c r="F75" s="68"/>
      <c r="G75" s="27" t="s">
        <v>3612</v>
      </c>
      <c r="H75" s="89" t="s">
        <v>3601</v>
      </c>
    </row>
    <row r="76" spans="2:9" s="25" customFormat="1" ht="9" customHeight="1" thickBot="1">
      <c r="B76" s="23">
        <f t="shared" si="0"/>
        <v>72</v>
      </c>
      <c r="C76" s="43"/>
      <c r="D76" s="43"/>
      <c r="E76" s="43"/>
      <c r="F76" s="43"/>
      <c r="G76" s="43"/>
      <c r="H76" s="94"/>
    </row>
    <row r="77" spans="2:9" s="25" customFormat="1" ht="9" customHeight="1" thickBot="1">
      <c r="B77" s="23">
        <f t="shared" si="0"/>
        <v>73</v>
      </c>
      <c r="C77" s="37"/>
      <c r="D77" s="37"/>
      <c r="E77" s="37"/>
      <c r="F77" s="37"/>
      <c r="G77" s="38"/>
      <c r="H77" s="94"/>
    </row>
    <row r="78" spans="2:9" s="25" customFormat="1" ht="16.5" thickBot="1">
      <c r="B78" s="40">
        <f t="shared" si="0"/>
        <v>74</v>
      </c>
      <c r="C78" s="27" t="s">
        <v>4301</v>
      </c>
      <c r="D78" s="69" t="s">
        <v>171</v>
      </c>
      <c r="E78" s="27"/>
      <c r="F78" s="27" t="s">
        <v>866</v>
      </c>
      <c r="G78" s="26"/>
      <c r="H78" s="89"/>
    </row>
    <row r="79" spans="2:9" s="25" customFormat="1" ht="16.5" thickBot="1">
      <c r="B79" s="40">
        <f t="shared" si="0"/>
        <v>75</v>
      </c>
      <c r="C79" s="27" t="s">
        <v>4301</v>
      </c>
      <c r="D79" s="69" t="s">
        <v>171</v>
      </c>
      <c r="E79" s="27"/>
      <c r="F79" s="27" t="s">
        <v>1728</v>
      </c>
      <c r="G79" s="26"/>
      <c r="H79" s="88"/>
      <c r="I79" s="50"/>
    </row>
    <row r="80" spans="2:9" s="25" customFormat="1" ht="16.5" thickBot="1">
      <c r="B80" s="40">
        <f t="shared" ref="B80:B102" si="1">B79+1</f>
        <v>76</v>
      </c>
      <c r="C80" s="27" t="s">
        <v>4301</v>
      </c>
      <c r="D80" s="69" t="s">
        <v>171</v>
      </c>
      <c r="E80" s="27"/>
      <c r="F80" s="27" t="s">
        <v>1333</v>
      </c>
      <c r="G80" s="27"/>
      <c r="H80" s="89"/>
    </row>
    <row r="81" spans="2:9" s="25" customFormat="1" ht="16.5" thickBot="1">
      <c r="B81" s="40">
        <f t="shared" si="1"/>
        <v>77</v>
      </c>
      <c r="C81" s="27" t="s">
        <v>4301</v>
      </c>
      <c r="D81" s="69" t="s">
        <v>171</v>
      </c>
      <c r="E81" s="27"/>
      <c r="F81" s="27" t="s">
        <v>1333</v>
      </c>
      <c r="G81" s="27"/>
      <c r="H81" s="89"/>
    </row>
    <row r="82" spans="2:9" s="25" customFormat="1" ht="16.5" thickBot="1">
      <c r="B82" s="40">
        <f t="shared" si="1"/>
        <v>78</v>
      </c>
      <c r="C82" s="27" t="s">
        <v>4301</v>
      </c>
      <c r="D82" s="69" t="s">
        <v>171</v>
      </c>
      <c r="E82" s="27"/>
      <c r="F82" s="27" t="s">
        <v>1333</v>
      </c>
      <c r="G82" s="27"/>
      <c r="H82" s="89"/>
    </row>
    <row r="83" spans="2:9" s="25" customFormat="1" ht="16.5" thickBot="1">
      <c r="B83" s="40">
        <f t="shared" si="1"/>
        <v>79</v>
      </c>
      <c r="C83" s="27" t="s">
        <v>4301</v>
      </c>
      <c r="D83" s="69" t="s">
        <v>171</v>
      </c>
      <c r="E83" s="27"/>
      <c r="F83" s="27"/>
      <c r="G83" s="27"/>
      <c r="H83" s="89"/>
    </row>
    <row r="84" spans="2:9" s="25" customFormat="1" ht="9" customHeight="1" thickBot="1">
      <c r="B84" s="23">
        <f>B83+1</f>
        <v>80</v>
      </c>
      <c r="C84" s="43"/>
      <c r="D84" s="43"/>
      <c r="E84" s="43"/>
      <c r="F84" s="43"/>
      <c r="G84" s="43"/>
      <c r="H84" s="94"/>
    </row>
    <row r="85" spans="2:9" s="25" customFormat="1" ht="9" customHeight="1" thickBot="1">
      <c r="B85" s="23">
        <f t="shared" si="1"/>
        <v>81</v>
      </c>
      <c r="C85" s="37"/>
      <c r="D85" s="37"/>
      <c r="E85" s="37"/>
      <c r="F85" s="37"/>
      <c r="G85" s="38"/>
      <c r="H85" s="94"/>
    </row>
    <row r="86" spans="2:9" s="25" customFormat="1" ht="16.5" thickBot="1">
      <c r="B86" s="40">
        <f t="shared" si="1"/>
        <v>82</v>
      </c>
      <c r="C86" s="27" t="s">
        <v>4301</v>
      </c>
      <c r="D86" s="29" t="s">
        <v>269</v>
      </c>
      <c r="E86" s="27" t="s">
        <v>865</v>
      </c>
      <c r="F86" s="27" t="s">
        <v>866</v>
      </c>
      <c r="G86" s="26"/>
      <c r="H86" s="88" t="s">
        <v>2762</v>
      </c>
    </row>
    <row r="87" spans="2:9" s="25" customFormat="1" ht="16.5" thickBot="1">
      <c r="B87" s="40">
        <f t="shared" si="1"/>
        <v>83</v>
      </c>
      <c r="C87" s="27" t="s">
        <v>4301</v>
      </c>
      <c r="D87" s="29" t="s">
        <v>269</v>
      </c>
      <c r="E87" s="27" t="s">
        <v>865</v>
      </c>
      <c r="F87" s="27" t="s">
        <v>1728</v>
      </c>
      <c r="G87" s="26"/>
      <c r="H87" s="88" t="s">
        <v>3944</v>
      </c>
      <c r="I87" s="50" t="s">
        <v>2761</v>
      </c>
    </row>
    <row r="88" spans="2:9" s="25" customFormat="1" ht="16.5" thickBot="1">
      <c r="B88" s="40">
        <f t="shared" si="1"/>
        <v>84</v>
      </c>
      <c r="C88" s="27" t="s">
        <v>4301</v>
      </c>
      <c r="D88" s="29" t="s">
        <v>269</v>
      </c>
      <c r="E88" s="27" t="s">
        <v>865</v>
      </c>
      <c r="F88" s="27" t="s">
        <v>1333</v>
      </c>
      <c r="G88" s="27" t="s">
        <v>951</v>
      </c>
      <c r="H88" s="89" t="s">
        <v>2764</v>
      </c>
    </row>
    <row r="89" spans="2:9" s="25" customFormat="1" ht="16.5" thickBot="1">
      <c r="B89" s="40">
        <f t="shared" si="1"/>
        <v>85</v>
      </c>
      <c r="C89" s="27" t="s">
        <v>4301</v>
      </c>
      <c r="D89" s="29" t="s">
        <v>269</v>
      </c>
      <c r="E89" s="27" t="s">
        <v>865</v>
      </c>
      <c r="F89" s="27" t="s">
        <v>1333</v>
      </c>
      <c r="G89" s="27" t="s">
        <v>949</v>
      </c>
      <c r="H89" s="89" t="s">
        <v>2763</v>
      </c>
    </row>
    <row r="90" spans="2:9" s="25" customFormat="1" ht="16.5" thickBot="1">
      <c r="B90" s="40">
        <f t="shared" si="1"/>
        <v>86</v>
      </c>
      <c r="C90" s="27" t="s">
        <v>4301</v>
      </c>
      <c r="D90" s="29" t="s">
        <v>269</v>
      </c>
      <c r="E90" s="27" t="s">
        <v>865</v>
      </c>
      <c r="F90" s="27"/>
      <c r="G90" s="27" t="s">
        <v>3606</v>
      </c>
      <c r="H90" s="89" t="s">
        <v>3945</v>
      </c>
    </row>
    <row r="91" spans="2:9" s="25" customFormat="1" ht="16.5" thickBot="1">
      <c r="B91" s="40">
        <f t="shared" si="1"/>
        <v>87</v>
      </c>
      <c r="C91" s="27" t="s">
        <v>4301</v>
      </c>
      <c r="D91" s="29" t="s">
        <v>269</v>
      </c>
      <c r="E91" s="27" t="s">
        <v>865</v>
      </c>
      <c r="F91" s="27"/>
      <c r="G91" s="27" t="s">
        <v>3607</v>
      </c>
      <c r="H91" s="89" t="s">
        <v>3604</v>
      </c>
    </row>
    <row r="92" spans="2:9" s="25" customFormat="1" ht="32.25" thickBot="1">
      <c r="B92" s="40">
        <f t="shared" si="1"/>
        <v>88</v>
      </c>
      <c r="C92" s="27" t="s">
        <v>4301</v>
      </c>
      <c r="D92" s="29" t="s">
        <v>269</v>
      </c>
      <c r="E92" s="27" t="s">
        <v>865</v>
      </c>
      <c r="F92" s="27"/>
      <c r="G92" s="27" t="s">
        <v>3608</v>
      </c>
      <c r="H92" s="89" t="s">
        <v>3605</v>
      </c>
    </row>
    <row r="93" spans="2:9" s="25" customFormat="1" ht="16.5" thickBot="1">
      <c r="B93" s="40">
        <f t="shared" si="1"/>
        <v>89</v>
      </c>
      <c r="C93" s="27" t="s">
        <v>4301</v>
      </c>
      <c r="D93" s="29" t="s">
        <v>269</v>
      </c>
      <c r="E93" s="27" t="s">
        <v>865</v>
      </c>
      <c r="F93" s="27"/>
      <c r="G93" s="27" t="s">
        <v>3613</v>
      </c>
      <c r="H93" s="89" t="s">
        <v>3614</v>
      </c>
    </row>
    <row r="94" spans="2:9" s="25" customFormat="1" ht="9" customHeight="1" thickBot="1">
      <c r="B94" s="23">
        <f t="shared" si="1"/>
        <v>90</v>
      </c>
      <c r="C94" s="43"/>
      <c r="D94" s="43"/>
      <c r="E94" s="43"/>
      <c r="F94" s="43"/>
      <c r="G94" s="43"/>
      <c r="H94" s="94"/>
    </row>
    <row r="95" spans="2:9" s="25" customFormat="1" ht="9" customHeight="1" thickBot="1">
      <c r="B95" s="23">
        <f t="shared" si="1"/>
        <v>91</v>
      </c>
      <c r="C95" s="37"/>
      <c r="D95" s="37"/>
      <c r="E95" s="37"/>
      <c r="F95" s="37"/>
      <c r="G95" s="38"/>
      <c r="H95" s="94"/>
    </row>
    <row r="96" spans="2:9" s="25" customFormat="1" ht="16.5" thickBot="1">
      <c r="B96" s="40">
        <f t="shared" si="1"/>
        <v>92</v>
      </c>
      <c r="C96" s="27" t="s">
        <v>4301</v>
      </c>
      <c r="D96" s="69" t="s">
        <v>172</v>
      </c>
      <c r="E96" s="27"/>
      <c r="F96" s="27" t="s">
        <v>866</v>
      </c>
      <c r="G96" s="26"/>
      <c r="H96" s="88"/>
    </row>
    <row r="97" spans="2:11" s="25" customFormat="1" ht="16.5" thickBot="1">
      <c r="B97" s="40">
        <f t="shared" si="1"/>
        <v>93</v>
      </c>
      <c r="C97" s="27" t="s">
        <v>4301</v>
      </c>
      <c r="D97" s="69" t="s">
        <v>172</v>
      </c>
      <c r="E97" s="27"/>
      <c r="F97" s="27" t="s">
        <v>1728</v>
      </c>
      <c r="G97" s="26"/>
      <c r="H97" s="88"/>
      <c r="I97" s="50"/>
    </row>
    <row r="98" spans="2:11" s="25" customFormat="1" ht="16.5" thickBot="1">
      <c r="B98" s="40">
        <f t="shared" si="1"/>
        <v>94</v>
      </c>
      <c r="C98" s="27" t="s">
        <v>4301</v>
      </c>
      <c r="D98" s="69" t="s">
        <v>172</v>
      </c>
      <c r="E98" s="27"/>
      <c r="F98" s="27" t="s">
        <v>1333</v>
      </c>
      <c r="G98" s="27"/>
      <c r="H98" s="89"/>
    </row>
    <row r="99" spans="2:11" s="25" customFormat="1" ht="16.5" thickBot="1">
      <c r="B99" s="40">
        <f t="shared" si="1"/>
        <v>95</v>
      </c>
      <c r="C99" s="27" t="s">
        <v>4301</v>
      </c>
      <c r="D99" s="69" t="s">
        <v>172</v>
      </c>
      <c r="E99" s="27"/>
      <c r="F99" s="27" t="s">
        <v>1333</v>
      </c>
      <c r="G99" s="27"/>
      <c r="H99" s="89"/>
    </row>
    <row r="100" spans="2:11" s="25" customFormat="1" ht="16.5" thickBot="1">
      <c r="B100" s="40">
        <f t="shared" si="1"/>
        <v>96</v>
      </c>
      <c r="C100" s="27" t="s">
        <v>4301</v>
      </c>
      <c r="D100" s="69" t="s">
        <v>172</v>
      </c>
      <c r="E100" s="27"/>
      <c r="F100" s="27" t="s">
        <v>1333</v>
      </c>
      <c r="G100" s="27"/>
      <c r="H100" s="89"/>
    </row>
    <row r="101" spans="2:11" s="25" customFormat="1" ht="16.5" thickBot="1">
      <c r="B101" s="40">
        <f t="shared" si="1"/>
        <v>97</v>
      </c>
      <c r="C101" s="27" t="s">
        <v>4301</v>
      </c>
      <c r="D101" s="69" t="s">
        <v>172</v>
      </c>
      <c r="E101" s="27"/>
      <c r="F101" s="68"/>
      <c r="G101" s="27"/>
      <c r="H101" s="89"/>
    </row>
    <row r="102" spans="2:11" s="25" customFormat="1" ht="9" customHeight="1" thickBot="1">
      <c r="B102" s="23">
        <f t="shared" si="1"/>
        <v>98</v>
      </c>
      <c r="C102" s="43"/>
      <c r="D102" s="43"/>
      <c r="E102" s="43"/>
      <c r="F102" s="43"/>
      <c r="G102" s="43"/>
      <c r="H102" s="44"/>
    </row>
    <row r="103" spans="2:11" ht="16.5" thickBot="1">
      <c r="E103" s="25"/>
      <c r="K103" s="10"/>
    </row>
    <row r="104" spans="2:11" ht="15.75" thickBot="1">
      <c r="C104" s="111"/>
      <c r="D104" s="112"/>
      <c r="F104" s="111"/>
      <c r="G104" s="113"/>
      <c r="H104" s="113"/>
      <c r="I104" s="113"/>
      <c r="J104" s="112"/>
    </row>
    <row r="105" spans="2:11">
      <c r="C105" s="72"/>
      <c r="D105" s="73"/>
      <c r="F105" s="72"/>
      <c r="G105" s="76"/>
      <c r="H105" s="76"/>
      <c r="I105" s="76"/>
      <c r="J105" s="73"/>
    </row>
    <row r="106" spans="2:11">
      <c r="C106" s="72"/>
      <c r="D106" s="73"/>
      <c r="F106" s="72"/>
      <c r="G106" s="76"/>
      <c r="H106" s="76"/>
      <c r="I106" s="76"/>
      <c r="J106" s="73"/>
    </row>
    <row r="107" spans="2:11">
      <c r="C107" s="72"/>
      <c r="D107" s="73"/>
      <c r="F107" s="72"/>
      <c r="G107" s="76"/>
      <c r="H107" s="76"/>
      <c r="I107" s="76"/>
      <c r="J107" s="73"/>
    </row>
    <row r="108" spans="2:11">
      <c r="C108" s="72"/>
      <c r="D108" s="73"/>
      <c r="F108" s="72"/>
      <c r="G108" s="76"/>
      <c r="H108" s="76"/>
      <c r="I108" s="76"/>
      <c r="J108" s="73"/>
    </row>
    <row r="109" spans="2:11">
      <c r="C109" s="72"/>
      <c r="D109" s="73"/>
      <c r="F109" s="72"/>
      <c r="G109" s="76"/>
      <c r="H109" s="76"/>
      <c r="I109" s="76"/>
      <c r="J109" s="73"/>
    </row>
    <row r="110" spans="2:11">
      <c r="C110" s="72"/>
      <c r="D110" s="73"/>
      <c r="F110" s="72"/>
      <c r="G110" s="76"/>
      <c r="H110" s="76"/>
      <c r="I110" s="76"/>
      <c r="J110" s="73"/>
    </row>
    <row r="111" spans="2:11">
      <c r="C111" s="72"/>
      <c r="D111" s="73"/>
      <c r="F111" s="72"/>
      <c r="G111" s="76"/>
      <c r="H111" s="76"/>
      <c r="I111" s="76"/>
      <c r="J111" s="73"/>
    </row>
    <row r="112" spans="2:11">
      <c r="C112" s="72"/>
      <c r="D112" s="73"/>
      <c r="F112" s="72"/>
      <c r="G112" s="76"/>
      <c r="H112" s="76"/>
      <c r="I112" s="76"/>
      <c r="J112" s="73"/>
    </row>
    <row r="113" spans="3:10">
      <c r="C113" s="72"/>
      <c r="D113" s="73"/>
      <c r="F113" s="72"/>
      <c r="G113" s="76"/>
      <c r="H113" s="76"/>
      <c r="I113" s="76"/>
      <c r="J113" s="73"/>
    </row>
    <row r="114" spans="3:10">
      <c r="C114" s="72"/>
      <c r="D114" s="73"/>
      <c r="F114" s="72"/>
      <c r="G114" s="76"/>
      <c r="H114" s="76"/>
      <c r="I114" s="76"/>
      <c r="J114" s="73"/>
    </row>
    <row r="115" spans="3:10">
      <c r="C115" s="72"/>
      <c r="D115" s="73"/>
      <c r="F115" s="72"/>
      <c r="G115" s="76"/>
      <c r="H115" s="76"/>
      <c r="I115" s="76"/>
      <c r="J115" s="73"/>
    </row>
    <row r="116" spans="3:10">
      <c r="C116" s="72"/>
      <c r="D116" s="73"/>
      <c r="F116" s="72"/>
      <c r="G116" s="76"/>
      <c r="H116" s="76"/>
      <c r="I116" s="76"/>
      <c r="J116" s="73"/>
    </row>
    <row r="117" spans="3:10">
      <c r="C117" s="72"/>
      <c r="D117" s="73"/>
      <c r="F117" s="72"/>
      <c r="G117" s="76"/>
      <c r="H117" s="76"/>
      <c r="I117" s="76"/>
      <c r="J117" s="73"/>
    </row>
    <row r="118" spans="3:10">
      <c r="C118" s="72"/>
      <c r="D118" s="73"/>
      <c r="F118" s="72"/>
      <c r="G118" s="76"/>
      <c r="H118" s="76"/>
      <c r="I118" s="76"/>
      <c r="J118" s="73"/>
    </row>
    <row r="119" spans="3:10">
      <c r="C119" s="72"/>
      <c r="D119" s="73"/>
      <c r="F119" s="72"/>
      <c r="G119" s="76"/>
      <c r="H119" s="76"/>
      <c r="I119" s="76"/>
      <c r="J119" s="73"/>
    </row>
    <row r="120" spans="3:10">
      <c r="C120" s="72"/>
      <c r="D120" s="73"/>
      <c r="F120" s="72"/>
      <c r="G120" s="76"/>
      <c r="H120" s="76"/>
      <c r="I120" s="76"/>
      <c r="J120" s="73"/>
    </row>
    <row r="121" spans="3:10">
      <c r="C121" s="72"/>
      <c r="D121" s="73"/>
      <c r="F121" s="72"/>
      <c r="G121" s="76"/>
      <c r="H121" s="76"/>
      <c r="I121" s="76"/>
      <c r="J121" s="73"/>
    </row>
    <row r="122" spans="3:10">
      <c r="C122" s="72"/>
      <c r="D122" s="73"/>
      <c r="F122" s="72"/>
      <c r="G122" s="76"/>
      <c r="H122" s="76"/>
      <c r="I122" s="76"/>
      <c r="J122" s="73"/>
    </row>
    <row r="123" spans="3:10">
      <c r="C123" s="72"/>
      <c r="D123" s="73"/>
      <c r="F123" s="72"/>
      <c r="G123" s="76"/>
      <c r="H123" s="76"/>
      <c r="I123" s="76"/>
      <c r="J123" s="73"/>
    </row>
    <row r="124" spans="3:10">
      <c r="C124" s="72"/>
      <c r="D124" s="73"/>
      <c r="F124" s="72"/>
      <c r="G124" s="76"/>
      <c r="H124" s="76"/>
      <c r="I124" s="76"/>
      <c r="J124" s="73"/>
    </row>
    <row r="125" spans="3:10">
      <c r="C125" s="72"/>
      <c r="D125" s="73"/>
      <c r="F125" s="72"/>
      <c r="G125" s="76"/>
      <c r="H125" s="76"/>
      <c r="I125" s="76"/>
      <c r="J125" s="73"/>
    </row>
    <row r="126" spans="3:10">
      <c r="C126" s="72"/>
      <c r="D126" s="73"/>
      <c r="F126" s="72"/>
      <c r="G126" s="76"/>
      <c r="H126" s="76"/>
      <c r="I126" s="76"/>
      <c r="J126" s="73"/>
    </row>
    <row r="127" spans="3:10">
      <c r="C127" s="72"/>
      <c r="D127" s="73"/>
      <c r="F127" s="72"/>
      <c r="G127" s="76"/>
      <c r="H127" s="76"/>
      <c r="I127" s="76"/>
      <c r="J127" s="73"/>
    </row>
    <row r="128" spans="3:10">
      <c r="C128" s="72"/>
      <c r="D128" s="73"/>
      <c r="F128" s="72"/>
      <c r="G128" s="76"/>
      <c r="H128" s="76"/>
      <c r="I128" s="76"/>
      <c r="J128" s="73"/>
    </row>
    <row r="129" spans="3:10">
      <c r="C129" s="72"/>
      <c r="D129" s="73"/>
      <c r="F129" s="72"/>
      <c r="G129" s="76"/>
      <c r="H129" s="76"/>
      <c r="I129" s="76"/>
      <c r="J129" s="73"/>
    </row>
    <row r="130" spans="3:10">
      <c r="C130" s="72"/>
      <c r="D130" s="73"/>
      <c r="F130" s="72"/>
      <c r="G130" s="76"/>
      <c r="H130" s="76"/>
      <c r="I130" s="76"/>
      <c r="J130" s="73"/>
    </row>
    <row r="131" spans="3:10">
      <c r="C131" s="72"/>
      <c r="D131" s="73"/>
      <c r="F131" s="72"/>
      <c r="G131" s="76"/>
      <c r="H131" s="76"/>
      <c r="I131" s="76"/>
      <c r="J131" s="73"/>
    </row>
    <row r="132" spans="3:10">
      <c r="C132" s="72"/>
      <c r="D132" s="73"/>
      <c r="F132" s="72"/>
      <c r="G132" s="76"/>
      <c r="H132" s="76"/>
      <c r="I132" s="76"/>
      <c r="J132" s="73"/>
    </row>
    <row r="133" spans="3:10">
      <c r="C133" s="72"/>
      <c r="D133" s="73"/>
      <c r="F133" s="72"/>
      <c r="G133" s="76"/>
      <c r="H133" s="76"/>
      <c r="I133" s="76"/>
      <c r="J133" s="73"/>
    </row>
    <row r="134" spans="3:10">
      <c r="C134" s="72"/>
      <c r="D134" s="73"/>
      <c r="F134" s="72"/>
      <c r="G134" s="76"/>
      <c r="H134" s="76"/>
      <c r="I134" s="76"/>
      <c r="J134" s="73"/>
    </row>
    <row r="135" spans="3:10">
      <c r="C135" s="72"/>
      <c r="D135" s="73"/>
      <c r="F135" s="72"/>
      <c r="G135" s="76"/>
      <c r="H135" s="76"/>
      <c r="I135" s="76"/>
      <c r="J135" s="73"/>
    </row>
    <row r="136" spans="3:10">
      <c r="C136" s="72"/>
      <c r="D136" s="73"/>
      <c r="F136" s="72"/>
      <c r="G136" s="76"/>
      <c r="H136" s="76"/>
      <c r="I136" s="76"/>
      <c r="J136" s="73"/>
    </row>
    <row r="137" spans="3:10">
      <c r="C137" s="72"/>
      <c r="D137" s="73"/>
      <c r="F137" s="72"/>
      <c r="G137" s="76"/>
      <c r="H137" s="76"/>
      <c r="I137" s="76"/>
      <c r="J137" s="73"/>
    </row>
    <row r="138" spans="3:10">
      <c r="C138" s="72"/>
      <c r="D138" s="73"/>
      <c r="F138" s="72"/>
      <c r="G138" s="76"/>
      <c r="H138" s="76"/>
      <c r="I138" s="76"/>
      <c r="J138" s="73"/>
    </row>
    <row r="139" spans="3:10">
      <c r="C139" s="72"/>
      <c r="D139" s="73"/>
      <c r="F139" s="72"/>
      <c r="G139" s="76"/>
      <c r="H139" s="76"/>
      <c r="I139" s="76"/>
      <c r="J139" s="73"/>
    </row>
    <row r="140" spans="3:10">
      <c r="C140" s="72"/>
      <c r="D140" s="73"/>
      <c r="F140" s="72"/>
      <c r="G140" s="76"/>
      <c r="H140" s="76"/>
      <c r="I140" s="76"/>
      <c r="J140" s="73"/>
    </row>
    <row r="141" spans="3:10">
      <c r="C141" s="72"/>
      <c r="D141" s="73"/>
      <c r="F141" s="72"/>
      <c r="G141" s="76"/>
      <c r="H141" s="76"/>
      <c r="I141" s="76"/>
      <c r="J141" s="73"/>
    </row>
    <row r="142" spans="3:10">
      <c r="C142" s="72"/>
      <c r="D142" s="73"/>
      <c r="F142" s="72"/>
      <c r="G142" s="76"/>
      <c r="H142" s="76"/>
      <c r="I142" s="76"/>
      <c r="J142" s="73"/>
    </row>
    <row r="143" spans="3:10">
      <c r="C143" s="72"/>
      <c r="D143" s="73"/>
      <c r="F143" s="72"/>
      <c r="G143" s="76"/>
      <c r="H143" s="76"/>
      <c r="I143" s="76"/>
      <c r="J143" s="73"/>
    </row>
    <row r="144" spans="3:10">
      <c r="C144" s="72"/>
      <c r="D144" s="73"/>
      <c r="F144" s="72"/>
      <c r="G144" s="76"/>
      <c r="H144" s="76"/>
      <c r="I144" s="76"/>
      <c r="J144" s="73"/>
    </row>
    <row r="145" spans="3:10">
      <c r="C145" s="72"/>
      <c r="D145" s="73"/>
      <c r="F145" s="72"/>
      <c r="G145" s="76"/>
      <c r="H145" s="76"/>
      <c r="I145" s="76"/>
      <c r="J145" s="73"/>
    </row>
    <row r="146" spans="3:10">
      <c r="C146" s="72"/>
      <c r="D146" s="73"/>
      <c r="F146" s="72"/>
      <c r="G146" s="76"/>
      <c r="H146" s="76"/>
      <c r="I146" s="76"/>
      <c r="J146" s="73"/>
    </row>
    <row r="147" spans="3:10">
      <c r="C147" s="72"/>
      <c r="D147" s="73"/>
      <c r="F147" s="72"/>
      <c r="G147" s="76"/>
      <c r="H147" s="76"/>
      <c r="I147" s="76"/>
      <c r="J147" s="73"/>
    </row>
    <row r="148" spans="3:10">
      <c r="C148" s="72"/>
      <c r="D148" s="73"/>
      <c r="F148" s="72"/>
      <c r="G148" s="76"/>
      <c r="H148" s="76"/>
      <c r="I148" s="76"/>
      <c r="J148" s="73"/>
    </row>
    <row r="149" spans="3:10">
      <c r="C149" s="72"/>
      <c r="D149" s="73"/>
      <c r="F149" s="72"/>
      <c r="G149" s="76"/>
      <c r="H149" s="76"/>
      <c r="I149" s="76"/>
      <c r="J149" s="73"/>
    </row>
    <row r="150" spans="3:10">
      <c r="C150" s="72"/>
      <c r="D150" s="73"/>
      <c r="F150" s="72"/>
      <c r="G150" s="76"/>
      <c r="H150" s="76"/>
      <c r="I150" s="76"/>
      <c r="J150" s="73"/>
    </row>
    <row r="151" spans="3:10">
      <c r="C151" s="72"/>
      <c r="D151" s="73"/>
      <c r="F151" s="72"/>
      <c r="G151" s="76"/>
      <c r="H151" s="76"/>
      <c r="I151" s="76"/>
      <c r="J151" s="73"/>
    </row>
    <row r="152" spans="3:10">
      <c r="C152" s="72"/>
      <c r="D152" s="73"/>
      <c r="F152" s="72"/>
      <c r="G152" s="76"/>
      <c r="H152" s="76"/>
      <c r="I152" s="76"/>
      <c r="J152" s="73"/>
    </row>
    <row r="153" spans="3:10">
      <c r="C153" s="72"/>
      <c r="D153" s="73"/>
      <c r="F153" s="72"/>
      <c r="G153" s="76"/>
      <c r="H153" s="76"/>
      <c r="I153" s="76"/>
      <c r="J153" s="73"/>
    </row>
    <row r="154" spans="3:10">
      <c r="C154" s="72"/>
      <c r="D154" s="73"/>
      <c r="F154" s="72"/>
      <c r="G154" s="76"/>
      <c r="H154" s="76"/>
      <c r="I154" s="76"/>
      <c r="J154" s="73"/>
    </row>
    <row r="155" spans="3:10">
      <c r="C155" s="72"/>
      <c r="D155" s="73"/>
      <c r="F155" s="72"/>
      <c r="G155" s="76"/>
      <c r="H155" s="76"/>
      <c r="I155" s="76"/>
      <c r="J155" s="73"/>
    </row>
    <row r="156" spans="3:10">
      <c r="C156" s="72"/>
      <c r="D156" s="73"/>
      <c r="F156" s="72"/>
      <c r="G156" s="76"/>
      <c r="H156" s="76"/>
      <c r="I156" s="76"/>
      <c r="J156" s="73"/>
    </row>
    <row r="157" spans="3:10">
      <c r="C157" s="72"/>
      <c r="D157" s="73"/>
      <c r="F157" s="72"/>
      <c r="G157" s="76"/>
      <c r="H157" s="76"/>
      <c r="I157" s="76"/>
      <c r="J157" s="73"/>
    </row>
    <row r="158" spans="3:10">
      <c r="C158" s="72"/>
      <c r="D158" s="73"/>
      <c r="F158" s="72"/>
      <c r="G158" s="76"/>
      <c r="H158" s="76"/>
      <c r="I158" s="76"/>
      <c r="J158" s="73"/>
    </row>
    <row r="159" spans="3:10">
      <c r="C159" s="72"/>
      <c r="D159" s="73"/>
      <c r="F159" s="72"/>
      <c r="G159" s="76"/>
      <c r="H159" s="76"/>
      <c r="I159" s="76"/>
      <c r="J159" s="73"/>
    </row>
    <row r="160" spans="3:10">
      <c r="C160" s="72"/>
      <c r="D160" s="73"/>
      <c r="F160" s="72"/>
      <c r="G160" s="76"/>
      <c r="H160" s="76"/>
      <c r="I160" s="76"/>
      <c r="J160" s="73"/>
    </row>
    <row r="161" spans="3:10">
      <c r="C161" s="72"/>
      <c r="D161" s="73"/>
      <c r="F161" s="72"/>
      <c r="G161" s="76"/>
      <c r="H161" s="76"/>
      <c r="I161" s="76"/>
      <c r="J161" s="73"/>
    </row>
    <row r="162" spans="3:10">
      <c r="C162" s="72"/>
      <c r="D162" s="73"/>
      <c r="F162" s="72"/>
      <c r="G162" s="76"/>
      <c r="H162" s="76"/>
      <c r="I162" s="76"/>
      <c r="J162" s="73"/>
    </row>
    <row r="163" spans="3:10">
      <c r="C163" s="72"/>
      <c r="D163" s="73"/>
      <c r="F163" s="72"/>
      <c r="G163" s="76"/>
      <c r="H163" s="76"/>
      <c r="I163" s="76"/>
      <c r="J163" s="73"/>
    </row>
    <row r="164" spans="3:10">
      <c r="C164" s="72"/>
      <c r="D164" s="73"/>
      <c r="F164" s="72"/>
      <c r="G164" s="76"/>
      <c r="H164" s="76"/>
      <c r="I164" s="76"/>
      <c r="J164" s="73"/>
    </row>
    <row r="165" spans="3:10">
      <c r="C165" s="72"/>
      <c r="D165" s="73"/>
      <c r="F165" s="72"/>
      <c r="G165" s="76"/>
      <c r="H165" s="76"/>
      <c r="I165" s="76"/>
      <c r="J165" s="73"/>
    </row>
    <row r="166" spans="3:10">
      <c r="C166" s="72"/>
      <c r="D166" s="73"/>
      <c r="F166" s="72"/>
      <c r="G166" s="76"/>
      <c r="H166" s="76"/>
      <c r="I166" s="76"/>
      <c r="J166" s="73"/>
    </row>
    <row r="167" spans="3:10">
      <c r="C167" s="72"/>
      <c r="D167" s="73"/>
      <c r="F167" s="72"/>
      <c r="G167" s="76"/>
      <c r="H167" s="76"/>
      <c r="I167" s="76"/>
      <c r="J167" s="73"/>
    </row>
    <row r="168" spans="3:10">
      <c r="C168" s="72"/>
      <c r="D168" s="73"/>
      <c r="F168" s="72"/>
      <c r="G168" s="76"/>
      <c r="H168" s="76"/>
      <c r="I168" s="76"/>
      <c r="J168" s="73"/>
    </row>
    <row r="169" spans="3:10">
      <c r="C169" s="72"/>
      <c r="D169" s="73"/>
      <c r="F169" s="72"/>
      <c r="G169" s="76"/>
      <c r="H169" s="76"/>
      <c r="I169" s="76"/>
      <c r="J169" s="73"/>
    </row>
    <row r="170" spans="3:10">
      <c r="C170" s="72"/>
      <c r="D170" s="73"/>
      <c r="F170" s="72"/>
      <c r="G170" s="76"/>
      <c r="H170" s="76"/>
      <c r="I170" s="76"/>
      <c r="J170" s="73"/>
    </row>
    <row r="171" spans="3:10">
      <c r="C171" s="72"/>
      <c r="D171" s="73"/>
      <c r="F171" s="72"/>
      <c r="G171" s="76"/>
      <c r="H171" s="76"/>
      <c r="I171" s="76"/>
      <c r="J171" s="73"/>
    </row>
    <row r="172" spans="3:10">
      <c r="C172" s="72"/>
      <c r="D172" s="73"/>
      <c r="F172" s="72"/>
      <c r="G172" s="76"/>
      <c r="H172" s="76"/>
      <c r="I172" s="76"/>
      <c r="J172" s="73"/>
    </row>
    <row r="173" spans="3:10">
      <c r="C173" s="72"/>
      <c r="D173" s="73"/>
      <c r="F173" s="72"/>
      <c r="G173" s="76"/>
      <c r="H173" s="76"/>
      <c r="I173" s="76"/>
      <c r="J173" s="73"/>
    </row>
    <row r="174" spans="3:10">
      <c r="C174" s="72"/>
      <c r="D174" s="73"/>
      <c r="F174" s="72"/>
      <c r="G174" s="76"/>
      <c r="H174" s="76"/>
      <c r="I174" s="76"/>
      <c r="J174" s="73"/>
    </row>
    <row r="175" spans="3:10">
      <c r="C175" s="72"/>
      <c r="D175" s="73"/>
      <c r="F175" s="72"/>
      <c r="G175" s="76"/>
      <c r="H175" s="76"/>
      <c r="I175" s="76"/>
      <c r="J175" s="73"/>
    </row>
    <row r="176" spans="3:10">
      <c r="C176" s="72"/>
      <c r="D176" s="73"/>
      <c r="F176" s="72"/>
      <c r="G176" s="76"/>
      <c r="H176" s="76"/>
      <c r="I176" s="76"/>
      <c r="J176" s="73"/>
    </row>
    <row r="177" spans="3:10">
      <c r="C177" s="72"/>
      <c r="D177" s="73"/>
      <c r="F177" s="72"/>
      <c r="G177" s="76"/>
      <c r="H177" s="76"/>
      <c r="I177" s="76"/>
      <c r="J177" s="73"/>
    </row>
    <row r="178" spans="3:10">
      <c r="C178" s="72"/>
      <c r="D178" s="73"/>
      <c r="F178" s="72"/>
      <c r="G178" s="76"/>
      <c r="H178" s="76"/>
      <c r="I178" s="76"/>
      <c r="J178" s="73"/>
    </row>
    <row r="179" spans="3:10">
      <c r="C179" s="72"/>
      <c r="D179" s="73"/>
      <c r="F179" s="72"/>
      <c r="G179" s="76"/>
      <c r="H179" s="76"/>
      <c r="I179" s="76"/>
      <c r="J179" s="73"/>
    </row>
    <row r="180" spans="3:10">
      <c r="C180" s="72"/>
      <c r="D180" s="73"/>
      <c r="F180" s="72"/>
      <c r="G180" s="76"/>
      <c r="H180" s="76"/>
      <c r="I180" s="76"/>
      <c r="J180" s="73"/>
    </row>
    <row r="181" spans="3:10">
      <c r="C181" s="72"/>
      <c r="D181" s="73"/>
      <c r="F181" s="72"/>
      <c r="G181" s="76"/>
      <c r="H181" s="76"/>
      <c r="I181" s="76"/>
      <c r="J181" s="73"/>
    </row>
    <row r="182" spans="3:10">
      <c r="C182" s="72"/>
      <c r="D182" s="73"/>
      <c r="F182" s="72"/>
      <c r="G182" s="76"/>
      <c r="H182" s="76"/>
      <c r="I182" s="76"/>
      <c r="J182" s="73"/>
    </row>
    <row r="183" spans="3:10">
      <c r="C183" s="72"/>
      <c r="D183" s="73"/>
      <c r="F183" s="72"/>
      <c r="G183" s="76"/>
      <c r="H183" s="76"/>
      <c r="I183" s="76"/>
      <c r="J183" s="73"/>
    </row>
    <row r="184" spans="3:10">
      <c r="C184" s="72"/>
      <c r="D184" s="73"/>
      <c r="F184" s="72"/>
      <c r="G184" s="76"/>
      <c r="H184" s="76"/>
      <c r="I184" s="76"/>
      <c r="J184" s="73"/>
    </row>
    <row r="185" spans="3:10">
      <c r="C185" s="72"/>
      <c r="D185" s="73"/>
      <c r="F185" s="72"/>
      <c r="G185" s="76"/>
      <c r="H185" s="76"/>
      <c r="I185" s="76"/>
      <c r="J185" s="73"/>
    </row>
    <row r="186" spans="3:10">
      <c r="C186" s="72"/>
      <c r="D186" s="73"/>
      <c r="F186" s="72"/>
      <c r="G186" s="76"/>
      <c r="H186" s="76"/>
      <c r="I186" s="76"/>
      <c r="J186" s="73"/>
    </row>
    <row r="187" spans="3:10" ht="15.75" thickBot="1">
      <c r="C187" s="72"/>
      <c r="D187" s="73"/>
      <c r="F187" s="74"/>
      <c r="G187" s="77"/>
      <c r="H187" s="77"/>
      <c r="I187" s="77"/>
      <c r="J187" s="75"/>
    </row>
    <row r="188" spans="3:10">
      <c r="C188" s="72"/>
      <c r="D188" s="73"/>
    </row>
    <row r="189" spans="3:10">
      <c r="C189" s="72"/>
      <c r="D189" s="73"/>
    </row>
    <row r="190" spans="3:10">
      <c r="C190" s="72"/>
      <c r="D190" s="73"/>
    </row>
    <row r="191" spans="3:10">
      <c r="C191" s="72"/>
      <c r="D191" s="73"/>
    </row>
    <row r="192" spans="3:10">
      <c r="C192" s="72"/>
      <c r="D192" s="73"/>
    </row>
    <row r="193" spans="3:4">
      <c r="C193" s="72"/>
      <c r="D193" s="73"/>
    </row>
    <row r="194" spans="3:4">
      <c r="C194" s="72"/>
      <c r="D194" s="83"/>
    </row>
    <row r="195" spans="3:4">
      <c r="C195" s="72"/>
      <c r="D195" s="73"/>
    </row>
    <row r="196" spans="3:4">
      <c r="C196" s="72"/>
      <c r="D196" s="73"/>
    </row>
    <row r="197" spans="3:4">
      <c r="C197" s="72"/>
      <c r="D197" s="73"/>
    </row>
    <row r="198" spans="3:4">
      <c r="C198" s="72"/>
      <c r="D198" s="73"/>
    </row>
    <row r="199" spans="3:4">
      <c r="C199" s="72"/>
      <c r="D199" s="73"/>
    </row>
    <row r="200" spans="3:4">
      <c r="C200" s="72"/>
      <c r="D200" s="73"/>
    </row>
    <row r="201" spans="3:4">
      <c r="C201" s="72"/>
      <c r="D201" s="73"/>
    </row>
    <row r="202" spans="3:4">
      <c r="C202" s="72"/>
      <c r="D202" s="73"/>
    </row>
    <row r="203" spans="3:4">
      <c r="C203" s="72"/>
      <c r="D203" s="73"/>
    </row>
    <row r="204" spans="3:4">
      <c r="C204" s="72"/>
      <c r="D204" s="73"/>
    </row>
    <row r="205" spans="3:4">
      <c r="C205" s="72"/>
      <c r="D205" s="73"/>
    </row>
    <row r="206" spans="3:4">
      <c r="C206" s="72"/>
      <c r="D206" s="73"/>
    </row>
    <row r="207" spans="3:4">
      <c r="C207" s="72"/>
      <c r="D207" s="73"/>
    </row>
    <row r="208" spans="3:4">
      <c r="C208" s="72"/>
      <c r="D208" s="73"/>
    </row>
    <row r="209" spans="3:4">
      <c r="C209" s="72"/>
      <c r="D209" s="73"/>
    </row>
    <row r="210" spans="3:4">
      <c r="C210" s="72"/>
      <c r="D210" s="73"/>
    </row>
    <row r="211" spans="3:4">
      <c r="C211" s="72"/>
      <c r="D211" s="73"/>
    </row>
    <row r="212" spans="3:4">
      <c r="C212" s="72"/>
      <c r="D212" s="73"/>
    </row>
    <row r="213" spans="3:4">
      <c r="C213" s="72"/>
      <c r="D213" s="73"/>
    </row>
    <row r="214" spans="3:4">
      <c r="C214" s="72"/>
      <c r="D214" s="73"/>
    </row>
    <row r="215" spans="3:4">
      <c r="C215" s="72"/>
      <c r="D215" s="73"/>
    </row>
    <row r="216" spans="3:4">
      <c r="C216" s="72"/>
      <c r="D216" s="73"/>
    </row>
    <row r="217" spans="3:4">
      <c r="C217" s="72"/>
      <c r="D217" s="73"/>
    </row>
    <row r="218" spans="3:4">
      <c r="C218" s="72"/>
      <c r="D218" s="73"/>
    </row>
    <row r="219" spans="3:4" ht="15.75" thickBot="1">
      <c r="C219" s="74"/>
      <c r="D219" s="75"/>
    </row>
  </sheetData>
  <mergeCells count="3">
    <mergeCell ref="C1:H1"/>
    <mergeCell ref="C104:D104"/>
    <mergeCell ref="F104:J104"/>
  </mergeCells>
  <dataValidations count="5">
    <dataValidation type="custom" allowBlank="1" showInputMessage="1" showErrorMessage="1" sqref="E94:E95 E102 E76:E77 E84:E85 E66:E67 E58:E59 E52:E53 E3:E4 E17:E18 E32:E33 E24:E25 E45:E46">
      <formula1>"Referencia,Servicios"</formula1>
    </dataValidation>
    <dataValidation type="list" allowBlank="1" showInputMessage="1" showErrorMessage="1" sqref="C86:C93 C68:C75 C78:C83 C60:C65 C54:C57 C47:C51 C26:C31 C34:C44 C5:C16 C19:C23 C96:C101">
      <formula1>Grupo</formula1>
    </dataValidation>
    <dataValidation type="list" allowBlank="1" showInputMessage="1" showErrorMessage="1" sqref="D96:D101 D78:D83 D86:D93 D68:D75 D60:D65 D54:D57 D34:D44 D5:D16 D19:D23 D26:D31 D47:D51">
      <formula1>Estaciones</formula1>
    </dataValidation>
    <dataValidation type="list" allowBlank="1" showInputMessage="1" showErrorMessage="1" sqref="F96:F101 F86:F93 F78:F83 F68:F75 F60:F65 F54:F57 F19:F23 F5:F16 F34:F44 F26:F31 F47:F51">
      <formula1>Clase</formula1>
    </dataValidation>
    <dataValidation type="list" allowBlank="1" showInputMessage="1" showErrorMessage="1" sqref="E96:E101 E86:E93 E78:E83 E68:E75 E60:E65 E54:E57 E34:E44 E5:E16 E19:E23 E26:E31 E47:E51">
      <formula1>"Servicios,Referencia"</formula1>
    </dataValidation>
  </dataValidations>
  <hyperlinks>
    <hyperlink ref="I6" r:id="rId1" display="http://toolserver.org/~geohack/geohack.php?pagename=El_Rosario_(estaci%C3%B3n)&amp;language=es&amp;params=19.504541_N_99.20002_W_region:MX_type:railwaystation"/>
    <hyperlink ref="I27" r:id="rId2" display="http://toolserver.org/~geohack/geohack.php?pagename=Azcapotzalco_(estaci%C3%B3n)&amp;language=es&amp;params=19.490989_N_99.186416_W_region:MX_type:railwaystation"/>
    <hyperlink ref="I20" r:id="rId3" display="http://toolserver.org/~geohack/geohack.php?pagename=Tezoz%C3%B3moc_(estaci%C3%B3n)&amp;language=es&amp;params=19.495116_N_99.196286_W_region:MX_type:railwaystation"/>
    <hyperlink ref="I35" r:id="rId4" display="http://toolserver.org/~geohack/geohack.php?pagename=Ferrer%C3%ADa_(estaci%C3%B3n)&amp;language=es&amp;params=19.490746_N_99.173841_W_region:MX_type:railwaystation"/>
    <hyperlink ref="I48" r:id="rId5" display="http://toolserver.org/~geohack/geohack.php?pagename=Norte_45_(estaci%C3%B3n)&amp;language=es&amp;params=19.488683_N_99.162769_W_region:MX_type:railwaystation"/>
    <hyperlink ref="I55" r:id="rId6" display="http://toolserver.org/~geohack/geohack.php?pagename=Vallejo_(estaci%C3%B3n)&amp;language=es&amp;params=19.490625_N_99.15586_W_region:MX_type:railwaystation"/>
    <hyperlink ref="I69" r:id="rId7" display="http://toolserver.org/~geohack/geohack.php?pagename=Lindavista_(estaci%C3%B3n)&amp;language=es&amp;params=19.487712_N_99.13466_W_region:MX_type:railwaystation"/>
    <hyperlink ref="I87" r:id="rId8" display="http://toolserver.org/~geohack/geohack.php?pagename=La_Villa-Bas%C3%ADlica_(estaci%C3%B3n)&amp;language=es&amp;params=19.481522_N_99.117923_W_region:MX_type:railwaystation"/>
  </hyperlinks>
  <pageMargins left="0.7" right="0.7" top="0.75" bottom="0.75" header="0.3" footer="0.3"/>
  <legacyDrawing r:id="rId9"/>
</worksheet>
</file>

<file path=xl/worksheets/sheet17.xml><?xml version="1.0" encoding="utf-8"?>
<worksheet xmlns="http://schemas.openxmlformats.org/spreadsheetml/2006/main" xmlns:r="http://schemas.openxmlformats.org/officeDocument/2006/relationships">
  <sheetPr codeName="Hoja21"/>
  <dimension ref="B1:K241"/>
  <sheetViews>
    <sheetView topLeftCell="A16" workbookViewId="0">
      <selection activeCell="G70" sqref="G70"/>
    </sheetView>
  </sheetViews>
  <sheetFormatPr baseColWidth="10" defaultRowHeight="15"/>
  <cols>
    <col min="1" max="1" width="3" customWidth="1"/>
    <col min="2" max="2" width="4.42578125" bestFit="1" customWidth="1"/>
    <col min="3" max="3" width="21.5703125"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120</v>
      </c>
      <c r="C3" s="33" t="s">
        <v>2</v>
      </c>
      <c r="D3" s="34" t="s">
        <v>1</v>
      </c>
      <c r="E3" s="34" t="s">
        <v>862</v>
      </c>
      <c r="F3" s="34" t="s">
        <v>863</v>
      </c>
      <c r="G3" s="34" t="s">
        <v>864</v>
      </c>
      <c r="H3" s="35" t="s">
        <v>358</v>
      </c>
    </row>
    <row r="4" spans="2:9" s="25" customFormat="1" ht="9" customHeight="1">
      <c r="B4" s="46"/>
      <c r="C4" s="37"/>
      <c r="D4" s="37"/>
      <c r="E4" s="37"/>
      <c r="F4" s="37"/>
      <c r="G4" s="38"/>
      <c r="H4" s="39"/>
    </row>
    <row r="5" spans="2:9" s="25" customFormat="1" ht="15.75">
      <c r="B5" s="40">
        <v>1</v>
      </c>
      <c r="C5" s="27" t="s">
        <v>2640</v>
      </c>
      <c r="D5" s="69" t="s">
        <v>174</v>
      </c>
      <c r="E5" s="27"/>
      <c r="F5" s="27" t="s">
        <v>866</v>
      </c>
      <c r="G5" s="26"/>
      <c r="H5" s="41"/>
    </row>
    <row r="6" spans="2:9" s="25" customFormat="1" ht="15.75">
      <c r="B6" s="40">
        <f t="shared" ref="B6:B75" si="0">B5+1</f>
        <v>2</v>
      </c>
      <c r="C6" s="27" t="s">
        <v>2640</v>
      </c>
      <c r="D6" s="69" t="s">
        <v>174</v>
      </c>
      <c r="E6" s="27"/>
      <c r="F6" s="27" t="s">
        <v>1728</v>
      </c>
      <c r="G6" s="26"/>
      <c r="H6" s="41"/>
      <c r="I6" s="50"/>
    </row>
    <row r="7" spans="2:9" s="25" customFormat="1" ht="15.75">
      <c r="B7" s="40">
        <f t="shared" si="0"/>
        <v>3</v>
      </c>
      <c r="C7" s="27" t="s">
        <v>2640</v>
      </c>
      <c r="D7" s="69" t="s">
        <v>174</v>
      </c>
      <c r="E7" s="27"/>
      <c r="F7" s="27" t="s">
        <v>1333</v>
      </c>
      <c r="G7" s="27"/>
      <c r="H7" s="42"/>
    </row>
    <row r="8" spans="2:9" s="25" customFormat="1" ht="15.75">
      <c r="B8" s="40">
        <f t="shared" si="0"/>
        <v>4</v>
      </c>
      <c r="C8" s="27" t="s">
        <v>2640</v>
      </c>
      <c r="D8" s="69" t="s">
        <v>174</v>
      </c>
      <c r="E8" s="27"/>
      <c r="F8" s="27" t="s">
        <v>1333</v>
      </c>
      <c r="G8" s="27"/>
      <c r="H8" s="42"/>
    </row>
    <row r="9" spans="2:9" s="25" customFormat="1" ht="15.75">
      <c r="B9" s="40">
        <f t="shared" si="0"/>
        <v>5</v>
      </c>
      <c r="C9" s="27" t="s">
        <v>2640</v>
      </c>
      <c r="D9" s="69" t="s">
        <v>174</v>
      </c>
      <c r="E9" s="27"/>
      <c r="F9" s="27" t="s">
        <v>1333</v>
      </c>
      <c r="G9" s="27"/>
      <c r="H9" s="51"/>
    </row>
    <row r="10" spans="2:9" s="25" customFormat="1" ht="15.75">
      <c r="B10" s="40">
        <f t="shared" si="0"/>
        <v>6</v>
      </c>
      <c r="C10" s="27" t="s">
        <v>2640</v>
      </c>
      <c r="D10" s="69" t="s">
        <v>174</v>
      </c>
      <c r="E10" s="27"/>
      <c r="F10" s="27"/>
      <c r="G10" s="49"/>
      <c r="H10" s="51"/>
    </row>
    <row r="11" spans="2:9" s="25" customFormat="1" ht="9" customHeight="1" thickBot="1">
      <c r="B11" s="56">
        <f t="shared" si="0"/>
        <v>7</v>
      </c>
      <c r="C11" s="54"/>
      <c r="D11" s="54"/>
      <c r="E11" s="54"/>
      <c r="F11" s="54"/>
      <c r="G11" s="54"/>
      <c r="H11" s="55"/>
    </row>
    <row r="12" spans="2:9" s="25" customFormat="1" ht="9" customHeight="1" thickBot="1">
      <c r="B12" s="23">
        <f t="shared" si="0"/>
        <v>8</v>
      </c>
      <c r="C12" s="37"/>
      <c r="D12" s="37"/>
      <c r="E12" s="37"/>
      <c r="F12" s="37"/>
      <c r="G12" s="38"/>
      <c r="H12" s="39"/>
    </row>
    <row r="13" spans="2:9" s="25" customFormat="1" ht="16.5" thickBot="1">
      <c r="B13" s="40">
        <f t="shared" si="0"/>
        <v>9</v>
      </c>
      <c r="C13" s="27" t="s">
        <v>2640</v>
      </c>
      <c r="D13" s="29" t="s">
        <v>201</v>
      </c>
      <c r="E13" s="27" t="s">
        <v>865</v>
      </c>
      <c r="F13" s="27" t="s">
        <v>866</v>
      </c>
      <c r="G13" s="62"/>
      <c r="H13" s="87" t="s">
        <v>2766</v>
      </c>
    </row>
    <row r="14" spans="2:9" s="25" customFormat="1" ht="16.5" thickBot="1">
      <c r="B14" s="40">
        <f t="shared" si="0"/>
        <v>10</v>
      </c>
      <c r="C14" s="27" t="s">
        <v>2640</v>
      </c>
      <c r="D14" s="29" t="s">
        <v>201</v>
      </c>
      <c r="E14" s="27" t="s">
        <v>865</v>
      </c>
      <c r="F14" s="27" t="s">
        <v>1728</v>
      </c>
      <c r="G14" s="26"/>
      <c r="H14" s="88" t="s">
        <v>3946</v>
      </c>
      <c r="I14" s="50" t="s">
        <v>2765</v>
      </c>
    </row>
    <row r="15" spans="2:9" s="25" customFormat="1" ht="16.5" thickBot="1">
      <c r="B15" s="40">
        <f t="shared" si="0"/>
        <v>11</v>
      </c>
      <c r="C15" s="27" t="s">
        <v>2640</v>
      </c>
      <c r="D15" s="29" t="s">
        <v>201</v>
      </c>
      <c r="E15" s="27" t="s">
        <v>865</v>
      </c>
      <c r="F15" s="27" t="s">
        <v>1333</v>
      </c>
      <c r="G15" s="27" t="s">
        <v>951</v>
      </c>
      <c r="H15" s="88" t="s">
        <v>2767</v>
      </c>
    </row>
    <row r="16" spans="2:9" s="25" customFormat="1" ht="16.5" thickBot="1">
      <c r="B16" s="40">
        <f t="shared" si="0"/>
        <v>12</v>
      </c>
      <c r="C16" s="27" t="s">
        <v>2640</v>
      </c>
      <c r="D16" s="29" t="s">
        <v>201</v>
      </c>
      <c r="E16" s="27" t="s">
        <v>865</v>
      </c>
      <c r="F16" s="27" t="s">
        <v>1333</v>
      </c>
      <c r="G16" s="27" t="s">
        <v>949</v>
      </c>
      <c r="H16" s="88" t="s">
        <v>2768</v>
      </c>
    </row>
    <row r="17" spans="2:9" s="25" customFormat="1" ht="9" customHeight="1" thickBot="1">
      <c r="B17" s="23">
        <f t="shared" si="0"/>
        <v>13</v>
      </c>
      <c r="C17" s="57"/>
      <c r="D17" s="57"/>
      <c r="E17" s="57"/>
      <c r="F17" s="57"/>
      <c r="G17" s="57"/>
      <c r="H17" s="94"/>
    </row>
    <row r="18" spans="2:9" s="25" customFormat="1" ht="9" customHeight="1" thickBot="1">
      <c r="B18" s="23">
        <f t="shared" si="0"/>
        <v>14</v>
      </c>
      <c r="C18" s="37"/>
      <c r="D18" s="37"/>
      <c r="E18" s="37"/>
      <c r="F18" s="37"/>
      <c r="G18" s="38"/>
      <c r="H18" s="94"/>
    </row>
    <row r="19" spans="2:9" s="25" customFormat="1" ht="16.5" thickBot="1">
      <c r="B19" s="40">
        <f t="shared" si="0"/>
        <v>15</v>
      </c>
      <c r="C19" s="27" t="s">
        <v>2640</v>
      </c>
      <c r="D19" s="29" t="s">
        <v>270</v>
      </c>
      <c r="E19" s="27" t="s">
        <v>865</v>
      </c>
      <c r="F19" s="27" t="s">
        <v>866</v>
      </c>
      <c r="G19" s="26"/>
      <c r="H19" s="88" t="s">
        <v>2770</v>
      </c>
    </row>
    <row r="20" spans="2:9" s="25" customFormat="1" ht="16.5" thickBot="1">
      <c r="B20" s="40">
        <f t="shared" si="0"/>
        <v>16</v>
      </c>
      <c r="C20" s="27" t="s">
        <v>2640</v>
      </c>
      <c r="D20" s="29" t="s">
        <v>270</v>
      </c>
      <c r="E20" s="27" t="s">
        <v>865</v>
      </c>
      <c r="F20" s="27" t="s">
        <v>1728</v>
      </c>
      <c r="G20" s="26"/>
      <c r="H20" s="88" t="s">
        <v>3947</v>
      </c>
      <c r="I20" s="50" t="s">
        <v>2769</v>
      </c>
    </row>
    <row r="21" spans="2:9" s="25" customFormat="1" ht="16.5" thickBot="1">
      <c r="B21" s="40">
        <f t="shared" si="0"/>
        <v>17</v>
      </c>
      <c r="C21" s="27" t="s">
        <v>2640</v>
      </c>
      <c r="D21" s="29" t="s">
        <v>270</v>
      </c>
      <c r="E21" s="27" t="s">
        <v>865</v>
      </c>
      <c r="F21" s="27" t="s">
        <v>1333</v>
      </c>
      <c r="G21" s="27" t="s">
        <v>951</v>
      </c>
      <c r="H21" s="88" t="s">
        <v>2771</v>
      </c>
    </row>
    <row r="22" spans="2:9" s="25" customFormat="1" ht="16.5" thickBot="1">
      <c r="B22" s="40">
        <f t="shared" si="0"/>
        <v>18</v>
      </c>
      <c r="C22" s="27" t="s">
        <v>2640</v>
      </c>
      <c r="D22" s="29" t="s">
        <v>270</v>
      </c>
      <c r="E22" s="27" t="s">
        <v>865</v>
      </c>
      <c r="F22" s="27" t="s">
        <v>1333</v>
      </c>
      <c r="G22" s="27" t="s">
        <v>949</v>
      </c>
      <c r="H22" s="88" t="s">
        <v>2772</v>
      </c>
    </row>
    <row r="23" spans="2:9" s="25" customFormat="1" ht="16.5" thickBot="1">
      <c r="B23" s="40">
        <f t="shared" si="0"/>
        <v>19</v>
      </c>
      <c r="C23" s="27" t="s">
        <v>2640</v>
      </c>
      <c r="D23" s="29" t="s">
        <v>270</v>
      </c>
      <c r="E23" s="27" t="s">
        <v>865</v>
      </c>
      <c r="F23" s="27"/>
      <c r="G23" s="27" t="s">
        <v>3585</v>
      </c>
      <c r="H23" s="88" t="s">
        <v>3938</v>
      </c>
    </row>
    <row r="24" spans="2:9" s="25" customFormat="1" ht="16.5" thickBot="1">
      <c r="B24" s="40">
        <f t="shared" si="0"/>
        <v>20</v>
      </c>
      <c r="C24" s="27" t="s">
        <v>2640</v>
      </c>
      <c r="D24" s="29" t="s">
        <v>270</v>
      </c>
      <c r="E24" s="27" t="s">
        <v>865</v>
      </c>
      <c r="F24" s="27"/>
      <c r="G24" s="49" t="s">
        <v>3615</v>
      </c>
      <c r="H24" s="101" t="s">
        <v>3616</v>
      </c>
    </row>
    <row r="25" spans="2:9" s="25" customFormat="1" ht="9" customHeight="1" thickBot="1">
      <c r="B25" s="23">
        <f t="shared" si="0"/>
        <v>21</v>
      </c>
      <c r="C25" s="43"/>
      <c r="D25" s="43"/>
      <c r="E25" s="43"/>
      <c r="F25" s="43"/>
      <c r="G25" s="43"/>
      <c r="H25" s="96"/>
    </row>
    <row r="26" spans="2:9" s="25" customFormat="1" ht="9" customHeight="1" thickBot="1">
      <c r="B26" s="23">
        <f t="shared" si="0"/>
        <v>22</v>
      </c>
      <c r="C26" s="37"/>
      <c r="D26" s="37"/>
      <c r="E26" s="37"/>
      <c r="F26" s="37"/>
      <c r="G26" s="38"/>
      <c r="H26" s="94"/>
    </row>
    <row r="27" spans="2:9" s="25" customFormat="1" ht="16.5" thickBot="1">
      <c r="B27" s="40">
        <f t="shared" si="0"/>
        <v>23</v>
      </c>
      <c r="C27" s="27" t="s">
        <v>2640</v>
      </c>
      <c r="D27" s="29" t="s">
        <v>271</v>
      </c>
      <c r="E27" s="27" t="s">
        <v>865</v>
      </c>
      <c r="F27" s="27" t="s">
        <v>866</v>
      </c>
      <c r="G27" s="26"/>
      <c r="H27" s="88" t="s">
        <v>3948</v>
      </c>
    </row>
    <row r="28" spans="2:9" s="25" customFormat="1" ht="32.25" thickBot="1">
      <c r="B28" s="40">
        <f t="shared" si="0"/>
        <v>24</v>
      </c>
      <c r="C28" s="27" t="s">
        <v>2640</v>
      </c>
      <c r="D28" s="29" t="s">
        <v>271</v>
      </c>
      <c r="E28" s="27" t="s">
        <v>865</v>
      </c>
      <c r="F28" s="27" t="s">
        <v>1728</v>
      </c>
      <c r="G28" s="26"/>
      <c r="H28" s="89" t="s">
        <v>3949</v>
      </c>
      <c r="I28" s="50" t="s">
        <v>2773</v>
      </c>
    </row>
    <row r="29" spans="2:9" s="25" customFormat="1" ht="16.5" thickBot="1">
      <c r="B29" s="40">
        <f t="shared" si="0"/>
        <v>25</v>
      </c>
      <c r="C29" s="27" t="s">
        <v>2640</v>
      </c>
      <c r="D29" s="29" t="s">
        <v>271</v>
      </c>
      <c r="E29" s="27" t="s">
        <v>865</v>
      </c>
      <c r="F29" s="27" t="s">
        <v>1333</v>
      </c>
      <c r="G29" s="27" t="s">
        <v>870</v>
      </c>
      <c r="H29" s="89" t="s">
        <v>2774</v>
      </c>
    </row>
    <row r="30" spans="2:9" s="25" customFormat="1" ht="16.5" thickBot="1">
      <c r="B30" s="40">
        <f t="shared" si="0"/>
        <v>26</v>
      </c>
      <c r="C30" s="27" t="s">
        <v>2640</v>
      </c>
      <c r="D30" s="29" t="s">
        <v>271</v>
      </c>
      <c r="E30" s="27" t="s">
        <v>865</v>
      </c>
      <c r="F30" s="27" t="s">
        <v>1333</v>
      </c>
      <c r="G30" s="27" t="s">
        <v>874</v>
      </c>
      <c r="H30" s="89" t="s">
        <v>2775</v>
      </c>
    </row>
    <row r="31" spans="2:9" s="25" customFormat="1" ht="16.5" thickBot="1">
      <c r="B31" s="40">
        <f t="shared" si="0"/>
        <v>27</v>
      </c>
      <c r="C31" s="27" t="s">
        <v>2640</v>
      </c>
      <c r="D31" s="29" t="s">
        <v>271</v>
      </c>
      <c r="E31" s="49" t="s">
        <v>865</v>
      </c>
      <c r="F31" s="49"/>
      <c r="G31" s="49" t="s">
        <v>3623</v>
      </c>
      <c r="H31" s="90" t="s">
        <v>3950</v>
      </c>
    </row>
    <row r="32" spans="2:9" s="25" customFormat="1" ht="9" customHeight="1" thickBot="1">
      <c r="B32" s="23">
        <f t="shared" si="0"/>
        <v>28</v>
      </c>
      <c r="C32" s="43"/>
      <c r="D32" s="43"/>
      <c r="E32" s="43"/>
      <c r="F32" s="43"/>
      <c r="G32" s="43"/>
      <c r="H32" s="96"/>
    </row>
    <row r="33" spans="2:9" s="25" customFormat="1" ht="9" customHeight="1" thickBot="1">
      <c r="B33" s="23">
        <f t="shared" si="0"/>
        <v>29</v>
      </c>
      <c r="C33" s="37"/>
      <c r="D33" s="37"/>
      <c r="E33" s="37"/>
      <c r="F33" s="37"/>
      <c r="G33" s="38"/>
      <c r="H33" s="94"/>
    </row>
    <row r="34" spans="2:9" s="25" customFormat="1" ht="16.5" thickBot="1">
      <c r="B34" s="40">
        <f t="shared" si="0"/>
        <v>30</v>
      </c>
      <c r="C34" s="27" t="s">
        <v>2640</v>
      </c>
      <c r="D34" s="69" t="s">
        <v>170</v>
      </c>
      <c r="E34" s="27"/>
      <c r="F34" s="27" t="s">
        <v>866</v>
      </c>
      <c r="G34" s="26"/>
      <c r="H34" s="88"/>
    </row>
    <row r="35" spans="2:9" s="25" customFormat="1" ht="16.5" thickBot="1">
      <c r="B35" s="40">
        <f t="shared" si="0"/>
        <v>31</v>
      </c>
      <c r="C35" s="27" t="s">
        <v>2640</v>
      </c>
      <c r="D35" s="69" t="s">
        <v>170</v>
      </c>
      <c r="E35" s="27"/>
      <c r="F35" s="27" t="s">
        <v>1728</v>
      </c>
      <c r="G35" s="26"/>
      <c r="H35" s="88"/>
      <c r="I35" s="50"/>
    </row>
    <row r="36" spans="2:9" s="25" customFormat="1" ht="16.5" thickBot="1">
      <c r="B36" s="40">
        <f t="shared" si="0"/>
        <v>32</v>
      </c>
      <c r="C36" s="27" t="s">
        <v>2640</v>
      </c>
      <c r="D36" s="69" t="s">
        <v>170</v>
      </c>
      <c r="E36" s="27"/>
      <c r="F36" s="27" t="s">
        <v>1333</v>
      </c>
      <c r="G36" s="27"/>
      <c r="H36" s="89"/>
    </row>
    <row r="37" spans="2:9" s="25" customFormat="1" ht="16.5" thickBot="1">
      <c r="B37" s="40">
        <f t="shared" si="0"/>
        <v>33</v>
      </c>
      <c r="C37" s="27" t="s">
        <v>2640</v>
      </c>
      <c r="D37" s="69" t="s">
        <v>170</v>
      </c>
      <c r="E37" s="27"/>
      <c r="F37" s="27" t="s">
        <v>1333</v>
      </c>
      <c r="G37" s="27"/>
      <c r="H37" s="89"/>
    </row>
    <row r="38" spans="2:9" s="25" customFormat="1" ht="16.5" thickBot="1">
      <c r="B38" s="40">
        <f t="shared" si="0"/>
        <v>34</v>
      </c>
      <c r="C38" s="27" t="s">
        <v>2640</v>
      </c>
      <c r="D38" s="69" t="s">
        <v>170</v>
      </c>
      <c r="E38" s="27"/>
      <c r="F38" s="27" t="s">
        <v>1333</v>
      </c>
      <c r="G38" s="49"/>
      <c r="H38" s="90"/>
    </row>
    <row r="39" spans="2:9" s="25" customFormat="1" ht="16.5" thickBot="1">
      <c r="B39" s="40">
        <f t="shared" si="0"/>
        <v>35</v>
      </c>
      <c r="C39" s="27" t="s">
        <v>2640</v>
      </c>
      <c r="D39" s="69" t="s">
        <v>170</v>
      </c>
      <c r="E39" s="27"/>
      <c r="F39" s="27"/>
      <c r="G39" s="49"/>
      <c r="H39" s="95"/>
    </row>
    <row r="40" spans="2:9" s="25" customFormat="1" ht="9" customHeight="1" thickBot="1">
      <c r="B40" s="23">
        <f t="shared" si="0"/>
        <v>36</v>
      </c>
      <c r="C40" s="43"/>
      <c r="D40" s="43"/>
      <c r="E40" s="43"/>
      <c r="F40" s="43"/>
      <c r="G40" s="43"/>
      <c r="H40" s="96"/>
    </row>
    <row r="41" spans="2:9" s="25" customFormat="1" ht="9" customHeight="1" thickBot="1">
      <c r="B41" s="23">
        <f t="shared" si="0"/>
        <v>37</v>
      </c>
      <c r="C41" s="37"/>
      <c r="D41" s="37"/>
      <c r="E41" s="37"/>
      <c r="F41" s="37"/>
      <c r="G41" s="38"/>
      <c r="H41" s="94"/>
    </row>
    <row r="42" spans="2:9" s="25" customFormat="1" ht="16.5" thickBot="1">
      <c r="B42" s="40">
        <f t="shared" si="0"/>
        <v>38</v>
      </c>
      <c r="C42" s="27" t="s">
        <v>2640</v>
      </c>
      <c r="D42" s="29" t="s">
        <v>272</v>
      </c>
      <c r="E42" s="27" t="s">
        <v>865</v>
      </c>
      <c r="F42" s="27" t="s">
        <v>866</v>
      </c>
      <c r="G42" s="26"/>
      <c r="H42" s="88" t="s">
        <v>2777</v>
      </c>
    </row>
    <row r="43" spans="2:9" s="25" customFormat="1" ht="16.5" thickBot="1">
      <c r="B43" s="40">
        <f t="shared" si="0"/>
        <v>39</v>
      </c>
      <c r="C43" s="27" t="s">
        <v>2640</v>
      </c>
      <c r="D43" s="29" t="s">
        <v>272</v>
      </c>
      <c r="E43" s="27" t="s">
        <v>865</v>
      </c>
      <c r="F43" s="27" t="s">
        <v>1728</v>
      </c>
      <c r="G43" s="26"/>
      <c r="H43" s="88" t="s">
        <v>3951</v>
      </c>
      <c r="I43" s="50" t="s">
        <v>2776</v>
      </c>
    </row>
    <row r="44" spans="2:9" s="25" customFormat="1" ht="16.5" thickBot="1">
      <c r="B44" s="40">
        <f t="shared" si="0"/>
        <v>40</v>
      </c>
      <c r="C44" s="27" t="s">
        <v>2640</v>
      </c>
      <c r="D44" s="29" t="s">
        <v>272</v>
      </c>
      <c r="E44" s="27" t="s">
        <v>865</v>
      </c>
      <c r="F44" s="27" t="s">
        <v>1333</v>
      </c>
      <c r="G44" s="27" t="s">
        <v>951</v>
      </c>
      <c r="H44" s="89" t="s">
        <v>2778</v>
      </c>
    </row>
    <row r="45" spans="2:9" s="25" customFormat="1" ht="16.5" thickBot="1">
      <c r="B45" s="40">
        <f t="shared" si="0"/>
        <v>41</v>
      </c>
      <c r="C45" s="27" t="s">
        <v>2640</v>
      </c>
      <c r="D45" s="29" t="s">
        <v>272</v>
      </c>
      <c r="E45" s="27" t="s">
        <v>865</v>
      </c>
      <c r="F45" s="27" t="s">
        <v>1333</v>
      </c>
      <c r="G45" s="27" t="s">
        <v>949</v>
      </c>
      <c r="H45" s="89" t="s">
        <v>2778</v>
      </c>
    </row>
    <row r="46" spans="2:9" s="25" customFormat="1" ht="16.5" thickBot="1">
      <c r="B46" s="40">
        <f t="shared" si="0"/>
        <v>42</v>
      </c>
      <c r="C46" s="27" t="s">
        <v>2640</v>
      </c>
      <c r="D46" s="29" t="s">
        <v>272</v>
      </c>
      <c r="E46" s="27" t="s">
        <v>865</v>
      </c>
      <c r="F46" s="27"/>
      <c r="G46" s="27" t="s">
        <v>3629</v>
      </c>
      <c r="H46" s="89" t="s">
        <v>3630</v>
      </c>
    </row>
    <row r="47" spans="2:9" s="25" customFormat="1" ht="16.5" thickBot="1">
      <c r="B47" s="40">
        <f t="shared" si="0"/>
        <v>43</v>
      </c>
      <c r="C47" s="27" t="s">
        <v>2640</v>
      </c>
      <c r="D47" s="29" t="s">
        <v>272</v>
      </c>
      <c r="E47" s="27" t="s">
        <v>865</v>
      </c>
      <c r="F47" s="27"/>
      <c r="G47" s="27" t="s">
        <v>3631</v>
      </c>
      <c r="H47" s="89" t="s">
        <v>3632</v>
      </c>
    </row>
    <row r="48" spans="2:9" s="25" customFormat="1" ht="16.5" thickBot="1">
      <c r="B48" s="40">
        <f t="shared" si="0"/>
        <v>44</v>
      </c>
      <c r="C48" s="27" t="s">
        <v>2640</v>
      </c>
      <c r="D48" s="29" t="s">
        <v>272</v>
      </c>
      <c r="E48" s="27" t="s">
        <v>865</v>
      </c>
      <c r="F48" s="27"/>
      <c r="G48" s="27" t="s">
        <v>3622</v>
      </c>
      <c r="H48" s="89" t="s">
        <v>3633</v>
      </c>
    </row>
    <row r="49" spans="2:9" s="25" customFormat="1" ht="9" customHeight="1" thickBot="1">
      <c r="B49" s="23">
        <f t="shared" si="0"/>
        <v>45</v>
      </c>
      <c r="C49" s="43"/>
      <c r="D49" s="43"/>
      <c r="E49" s="43"/>
      <c r="F49" s="43"/>
      <c r="G49" s="43"/>
      <c r="H49" s="94"/>
    </row>
    <row r="50" spans="2:9" s="25" customFormat="1" ht="9" customHeight="1" thickBot="1">
      <c r="B50" s="23">
        <f t="shared" si="0"/>
        <v>46</v>
      </c>
      <c r="C50" s="37"/>
      <c r="D50" s="37"/>
      <c r="E50" s="37"/>
      <c r="F50" s="37"/>
      <c r="G50" s="38"/>
      <c r="H50" s="94"/>
    </row>
    <row r="51" spans="2:9" s="25" customFormat="1" ht="16.5" thickBot="1">
      <c r="B51" s="40">
        <f t="shared" si="0"/>
        <v>47</v>
      </c>
      <c r="C51" s="27" t="s">
        <v>2640</v>
      </c>
      <c r="D51" s="71" t="s">
        <v>273</v>
      </c>
      <c r="E51" s="27" t="s">
        <v>865</v>
      </c>
      <c r="F51" s="27" t="s">
        <v>866</v>
      </c>
      <c r="G51" s="26"/>
      <c r="H51" s="88" t="s">
        <v>2780</v>
      </c>
    </row>
    <row r="52" spans="2:9" s="25" customFormat="1" ht="16.5" thickBot="1">
      <c r="B52" s="40">
        <f t="shared" si="0"/>
        <v>48</v>
      </c>
      <c r="C52" s="27" t="s">
        <v>2640</v>
      </c>
      <c r="D52" s="71" t="s">
        <v>273</v>
      </c>
      <c r="E52" s="27" t="s">
        <v>865</v>
      </c>
      <c r="F52" s="27" t="s">
        <v>1728</v>
      </c>
      <c r="G52" s="26"/>
      <c r="H52" s="88" t="s">
        <v>3952</v>
      </c>
      <c r="I52" s="50" t="s">
        <v>2779</v>
      </c>
    </row>
    <row r="53" spans="2:9" s="25" customFormat="1" ht="16.5" thickBot="1">
      <c r="B53" s="40">
        <f t="shared" si="0"/>
        <v>49</v>
      </c>
      <c r="C53" s="27" t="s">
        <v>2640</v>
      </c>
      <c r="D53" s="71" t="s">
        <v>273</v>
      </c>
      <c r="E53" s="27" t="s">
        <v>865</v>
      </c>
      <c r="F53" s="27" t="s">
        <v>1333</v>
      </c>
      <c r="G53" s="27" t="s">
        <v>951</v>
      </c>
      <c r="H53" s="89" t="s">
        <v>3953</v>
      </c>
    </row>
    <row r="54" spans="2:9" s="25" customFormat="1" ht="16.5" thickBot="1">
      <c r="B54" s="40">
        <f t="shared" si="0"/>
        <v>50</v>
      </c>
      <c r="C54" s="27" t="s">
        <v>2640</v>
      </c>
      <c r="D54" s="71" t="s">
        <v>273</v>
      </c>
      <c r="E54" s="27" t="s">
        <v>865</v>
      </c>
      <c r="F54" s="27" t="s">
        <v>1333</v>
      </c>
      <c r="G54" s="27" t="s">
        <v>949</v>
      </c>
      <c r="H54" s="89" t="s">
        <v>3954</v>
      </c>
    </row>
    <row r="55" spans="2:9" s="25" customFormat="1" ht="16.5" thickBot="1">
      <c r="B55" s="40">
        <f t="shared" si="0"/>
        <v>51</v>
      </c>
      <c r="C55" s="27" t="s">
        <v>2640</v>
      </c>
      <c r="D55" s="71" t="s">
        <v>273</v>
      </c>
      <c r="E55" s="27" t="s">
        <v>865</v>
      </c>
      <c r="F55" s="27"/>
      <c r="G55" s="27" t="s">
        <v>2786</v>
      </c>
      <c r="H55" s="89" t="s">
        <v>3634</v>
      </c>
    </row>
    <row r="56" spans="2:9" s="25" customFormat="1" ht="16.5" thickBot="1">
      <c r="B56" s="40">
        <f t="shared" si="0"/>
        <v>52</v>
      </c>
      <c r="C56" s="27" t="s">
        <v>2640</v>
      </c>
      <c r="D56" s="71" t="s">
        <v>273</v>
      </c>
      <c r="E56" s="27" t="s">
        <v>865</v>
      </c>
      <c r="F56" s="27"/>
      <c r="G56" s="27" t="s">
        <v>3621</v>
      </c>
      <c r="H56" s="89" t="s">
        <v>3635</v>
      </c>
    </row>
    <row r="57" spans="2:9" s="25" customFormat="1" ht="16.5" thickBot="1">
      <c r="B57" s="40">
        <f t="shared" si="0"/>
        <v>53</v>
      </c>
      <c r="C57" s="27" t="s">
        <v>2640</v>
      </c>
      <c r="D57" s="71" t="s">
        <v>273</v>
      </c>
      <c r="E57" s="27" t="s">
        <v>865</v>
      </c>
      <c r="F57" s="27"/>
      <c r="G57" s="27" t="s">
        <v>3639</v>
      </c>
      <c r="H57" s="89" t="s">
        <v>3638</v>
      </c>
    </row>
    <row r="58" spans="2:9" s="25" customFormat="1" ht="16.5" thickBot="1">
      <c r="B58" s="40">
        <f t="shared" si="0"/>
        <v>54</v>
      </c>
      <c r="C58" s="27" t="s">
        <v>2640</v>
      </c>
      <c r="D58" s="71" t="s">
        <v>273</v>
      </c>
      <c r="E58" s="27" t="s">
        <v>865</v>
      </c>
      <c r="F58" s="27"/>
      <c r="G58" s="27" t="s">
        <v>3636</v>
      </c>
      <c r="H58" s="89" t="s">
        <v>3637</v>
      </c>
    </row>
    <row r="59" spans="2:9" s="25" customFormat="1" ht="16.5" thickBot="1">
      <c r="B59" s="40">
        <f t="shared" si="0"/>
        <v>55</v>
      </c>
      <c r="C59" s="27" t="s">
        <v>2640</v>
      </c>
      <c r="D59" s="71" t="s">
        <v>273</v>
      </c>
      <c r="E59" s="27" t="s">
        <v>865</v>
      </c>
      <c r="F59" s="27"/>
      <c r="G59" s="27" t="s">
        <v>3640</v>
      </c>
      <c r="H59" s="89" t="s">
        <v>3641</v>
      </c>
    </row>
    <row r="60" spans="2:9" s="25" customFormat="1" ht="9" customHeight="1" thickBot="1">
      <c r="B60" s="23">
        <f t="shared" si="0"/>
        <v>56</v>
      </c>
      <c r="C60" s="43"/>
      <c r="D60" s="43"/>
      <c r="E60" s="43"/>
      <c r="F60" s="43"/>
      <c r="G60" s="43"/>
      <c r="H60" s="94"/>
    </row>
    <row r="61" spans="2:9" s="25" customFormat="1" ht="9" customHeight="1" thickBot="1">
      <c r="B61" s="23">
        <f t="shared" si="0"/>
        <v>57</v>
      </c>
      <c r="C61" s="37"/>
      <c r="D61" s="37"/>
      <c r="E61" s="37"/>
      <c r="F61" s="37"/>
      <c r="G61" s="38"/>
      <c r="H61" s="94"/>
    </row>
    <row r="62" spans="2:9" s="25" customFormat="1" ht="16.5" thickBot="1">
      <c r="B62" s="40">
        <f t="shared" si="0"/>
        <v>58</v>
      </c>
      <c r="C62" s="27" t="s">
        <v>2640</v>
      </c>
      <c r="D62" s="29" t="s">
        <v>274</v>
      </c>
      <c r="E62" s="27" t="s">
        <v>865</v>
      </c>
      <c r="F62" s="27" t="s">
        <v>866</v>
      </c>
      <c r="G62" s="26"/>
      <c r="H62" s="88" t="s">
        <v>2782</v>
      </c>
    </row>
    <row r="63" spans="2:9" s="25" customFormat="1" ht="16.5" thickBot="1">
      <c r="B63" s="40">
        <f t="shared" si="0"/>
        <v>59</v>
      </c>
      <c r="C63" s="27" t="s">
        <v>2640</v>
      </c>
      <c r="D63" s="29" t="s">
        <v>274</v>
      </c>
      <c r="E63" s="27" t="s">
        <v>865</v>
      </c>
      <c r="F63" s="27" t="s">
        <v>1728</v>
      </c>
      <c r="G63" s="26"/>
      <c r="H63" s="88" t="s">
        <v>3955</v>
      </c>
      <c r="I63" s="50" t="s">
        <v>2781</v>
      </c>
    </row>
    <row r="64" spans="2:9" s="25" customFormat="1" ht="16.5" thickBot="1">
      <c r="B64" s="40">
        <f t="shared" si="0"/>
        <v>60</v>
      </c>
      <c r="C64" s="27" t="s">
        <v>2640</v>
      </c>
      <c r="D64" s="29" t="s">
        <v>274</v>
      </c>
      <c r="E64" s="27" t="s">
        <v>865</v>
      </c>
      <c r="F64" s="27" t="s">
        <v>1333</v>
      </c>
      <c r="G64" s="27" t="s">
        <v>992</v>
      </c>
      <c r="H64" s="89" t="s">
        <v>2783</v>
      </c>
    </row>
    <row r="65" spans="2:9" s="25" customFormat="1" ht="16.5" thickBot="1">
      <c r="B65" s="40">
        <f t="shared" si="0"/>
        <v>61</v>
      </c>
      <c r="C65" s="27" t="s">
        <v>2640</v>
      </c>
      <c r="D65" s="29" t="s">
        <v>274</v>
      </c>
      <c r="E65" s="27" t="s">
        <v>865</v>
      </c>
      <c r="F65" s="27" t="s">
        <v>1333</v>
      </c>
      <c r="G65" s="27" t="s">
        <v>989</v>
      </c>
      <c r="H65" s="89" t="s">
        <v>3956</v>
      </c>
    </row>
    <row r="66" spans="2:9" s="25" customFormat="1" ht="16.5" thickBot="1">
      <c r="B66" s="40">
        <f t="shared" si="0"/>
        <v>62</v>
      </c>
      <c r="C66" s="27" t="s">
        <v>2640</v>
      </c>
      <c r="D66" s="29" t="s">
        <v>274</v>
      </c>
      <c r="E66" s="27" t="s">
        <v>865</v>
      </c>
      <c r="F66" s="27" t="s">
        <v>1333</v>
      </c>
      <c r="G66" s="27" t="s">
        <v>870</v>
      </c>
      <c r="H66" s="89" t="s">
        <v>2784</v>
      </c>
    </row>
    <row r="67" spans="2:9" s="25" customFormat="1" ht="16.5" thickBot="1">
      <c r="B67" s="40">
        <f t="shared" si="0"/>
        <v>63</v>
      </c>
      <c r="C67" s="27" t="s">
        <v>2640</v>
      </c>
      <c r="D67" s="29" t="s">
        <v>274</v>
      </c>
      <c r="E67" s="27" t="s">
        <v>865</v>
      </c>
      <c r="F67" s="27"/>
      <c r="G67" s="27" t="s">
        <v>2785</v>
      </c>
      <c r="H67" s="89" t="s">
        <v>3642</v>
      </c>
    </row>
    <row r="68" spans="2:9" s="25" customFormat="1" ht="16.5" thickBot="1">
      <c r="B68" s="40">
        <f t="shared" si="0"/>
        <v>64</v>
      </c>
      <c r="C68" s="27" t="s">
        <v>2640</v>
      </c>
      <c r="D68" s="29" t="s">
        <v>274</v>
      </c>
      <c r="E68" s="27" t="s">
        <v>865</v>
      </c>
      <c r="F68" s="27"/>
      <c r="G68" s="27" t="s">
        <v>2786</v>
      </c>
      <c r="H68" s="89" t="s">
        <v>3634</v>
      </c>
    </row>
    <row r="69" spans="2:9" s="25" customFormat="1" ht="16.5" thickBot="1">
      <c r="B69" s="40">
        <f t="shared" si="0"/>
        <v>65</v>
      </c>
      <c r="C69" s="27" t="s">
        <v>2640</v>
      </c>
      <c r="D69" s="29" t="s">
        <v>274</v>
      </c>
      <c r="E69" s="27" t="s">
        <v>865</v>
      </c>
      <c r="F69" s="27"/>
      <c r="G69" s="27" t="s">
        <v>2787</v>
      </c>
      <c r="H69" s="89" t="s">
        <v>3643</v>
      </c>
    </row>
    <row r="70" spans="2:9" s="25" customFormat="1" ht="16.5" thickBot="1">
      <c r="B70" s="40">
        <f t="shared" si="0"/>
        <v>66</v>
      </c>
      <c r="C70" s="27" t="s">
        <v>2640</v>
      </c>
      <c r="D70" s="29" t="s">
        <v>274</v>
      </c>
      <c r="E70" s="27" t="s">
        <v>865</v>
      </c>
      <c r="F70" s="27"/>
      <c r="G70" s="27" t="s">
        <v>2788</v>
      </c>
      <c r="H70" s="89" t="s">
        <v>3644</v>
      </c>
    </row>
    <row r="71" spans="2:9" s="25" customFormat="1" ht="16.5" thickBot="1">
      <c r="B71" s="40">
        <f t="shared" si="0"/>
        <v>67</v>
      </c>
      <c r="C71" s="27" t="s">
        <v>2640</v>
      </c>
      <c r="D71" s="29" t="s">
        <v>274</v>
      </c>
      <c r="E71" s="27" t="s">
        <v>865</v>
      </c>
      <c r="F71" s="27"/>
      <c r="G71" s="27" t="s">
        <v>3645</v>
      </c>
      <c r="H71" s="89" t="s">
        <v>3646</v>
      </c>
    </row>
    <row r="72" spans="2:9" s="25" customFormat="1" ht="16.5" thickBot="1">
      <c r="B72" s="40">
        <f t="shared" si="0"/>
        <v>68</v>
      </c>
      <c r="C72" s="27" t="s">
        <v>2640</v>
      </c>
      <c r="D72" s="29" t="s">
        <v>274</v>
      </c>
      <c r="E72" s="27" t="s">
        <v>865</v>
      </c>
      <c r="F72" s="68"/>
      <c r="G72" s="27" t="s">
        <v>2789</v>
      </c>
      <c r="H72" s="89" t="s">
        <v>3647</v>
      </c>
    </row>
    <row r="73" spans="2:9" s="25" customFormat="1" ht="9" customHeight="1" thickBot="1">
      <c r="B73" s="23">
        <f t="shared" si="0"/>
        <v>69</v>
      </c>
      <c r="C73" s="43"/>
      <c r="D73" s="43"/>
      <c r="E73" s="43"/>
      <c r="F73" s="43"/>
      <c r="G73" s="43"/>
      <c r="H73" s="94"/>
    </row>
    <row r="74" spans="2:9" s="25" customFormat="1" ht="9" customHeight="1" thickBot="1">
      <c r="B74" s="23">
        <f t="shared" si="0"/>
        <v>70</v>
      </c>
      <c r="C74" s="37"/>
      <c r="D74" s="37"/>
      <c r="E74" s="37"/>
      <c r="F74" s="37"/>
      <c r="G74" s="38"/>
      <c r="H74" s="94"/>
    </row>
    <row r="75" spans="2:9" s="25" customFormat="1" ht="32.25" thickBot="1">
      <c r="B75" s="40">
        <f t="shared" si="0"/>
        <v>71</v>
      </c>
      <c r="C75" s="27" t="s">
        <v>2640</v>
      </c>
      <c r="D75" s="71" t="s">
        <v>275</v>
      </c>
      <c r="E75" s="27" t="s">
        <v>865</v>
      </c>
      <c r="F75" s="27" t="s">
        <v>866</v>
      </c>
      <c r="G75" s="26"/>
      <c r="H75" s="89" t="s">
        <v>2791</v>
      </c>
    </row>
    <row r="76" spans="2:9" s="25" customFormat="1" ht="16.5" thickBot="1">
      <c r="B76" s="40">
        <f t="shared" ref="B76:B124" si="1">B75+1</f>
        <v>72</v>
      </c>
      <c r="C76" s="27" t="s">
        <v>2640</v>
      </c>
      <c r="D76" s="71" t="s">
        <v>275</v>
      </c>
      <c r="E76" s="27" t="s">
        <v>865</v>
      </c>
      <c r="F76" s="27" t="s">
        <v>1728</v>
      </c>
      <c r="G76" s="26"/>
      <c r="H76" s="88" t="s">
        <v>3957</v>
      </c>
      <c r="I76" s="50" t="s">
        <v>2790</v>
      </c>
    </row>
    <row r="77" spans="2:9" s="25" customFormat="1" ht="32.25" thickBot="1">
      <c r="B77" s="40">
        <f t="shared" si="1"/>
        <v>73</v>
      </c>
      <c r="C77" s="27" t="s">
        <v>2640</v>
      </c>
      <c r="D77" s="71" t="s">
        <v>275</v>
      </c>
      <c r="E77" s="27" t="s">
        <v>865</v>
      </c>
      <c r="F77" s="27" t="s">
        <v>1333</v>
      </c>
      <c r="G77" s="27" t="s">
        <v>870</v>
      </c>
      <c r="H77" s="89" t="s">
        <v>2792</v>
      </c>
    </row>
    <row r="78" spans="2:9" s="25" customFormat="1" ht="16.5" thickBot="1">
      <c r="B78" s="40">
        <f t="shared" si="1"/>
        <v>74</v>
      </c>
      <c r="C78" s="27" t="s">
        <v>2640</v>
      </c>
      <c r="D78" s="71" t="s">
        <v>275</v>
      </c>
      <c r="E78" s="27" t="s">
        <v>865</v>
      </c>
      <c r="F78" s="27" t="s">
        <v>1333</v>
      </c>
      <c r="G78" s="27" t="s">
        <v>874</v>
      </c>
      <c r="H78" s="89" t="s">
        <v>2793</v>
      </c>
    </row>
    <row r="79" spans="2:9" s="25" customFormat="1" ht="32.25" thickBot="1">
      <c r="B79" s="40">
        <f t="shared" si="1"/>
        <v>75</v>
      </c>
      <c r="C79" s="27" t="s">
        <v>2640</v>
      </c>
      <c r="D79" s="71" t="s">
        <v>275</v>
      </c>
      <c r="E79" s="27" t="s">
        <v>865</v>
      </c>
      <c r="F79" s="27"/>
      <c r="G79" s="27" t="s">
        <v>3617</v>
      </c>
      <c r="H79" s="89" t="s">
        <v>3958</v>
      </c>
    </row>
    <row r="80" spans="2:9" s="25" customFormat="1" ht="16.5" thickBot="1">
      <c r="B80" s="40">
        <f t="shared" si="1"/>
        <v>76</v>
      </c>
      <c r="C80" s="27" t="s">
        <v>2640</v>
      </c>
      <c r="D80" s="71" t="s">
        <v>275</v>
      </c>
      <c r="E80" s="27" t="s">
        <v>865</v>
      </c>
      <c r="F80" s="27"/>
      <c r="G80" s="27" t="s">
        <v>3618</v>
      </c>
      <c r="H80" s="89" t="s">
        <v>3959</v>
      </c>
    </row>
    <row r="81" spans="2:9" s="25" customFormat="1" ht="32.25" thickBot="1">
      <c r="B81" s="40">
        <f t="shared" si="1"/>
        <v>77</v>
      </c>
      <c r="C81" s="27" t="s">
        <v>2640</v>
      </c>
      <c r="D81" s="71" t="s">
        <v>275</v>
      </c>
      <c r="E81" s="27" t="s">
        <v>865</v>
      </c>
      <c r="F81" s="27"/>
      <c r="G81" s="27" t="s">
        <v>3619</v>
      </c>
      <c r="H81" s="89" t="s">
        <v>3960</v>
      </c>
    </row>
    <row r="82" spans="2:9" s="25" customFormat="1" ht="16.5" thickBot="1">
      <c r="B82" s="40">
        <f t="shared" si="1"/>
        <v>78</v>
      </c>
      <c r="C82" s="27" t="s">
        <v>2640</v>
      </c>
      <c r="D82" s="71" t="s">
        <v>275</v>
      </c>
      <c r="E82" s="27" t="s">
        <v>865</v>
      </c>
      <c r="F82" s="27"/>
      <c r="G82" s="27" t="s">
        <v>3648</v>
      </c>
      <c r="H82" s="89" t="s">
        <v>3961</v>
      </c>
    </row>
    <row r="83" spans="2:9" s="25" customFormat="1" ht="32.25" thickBot="1">
      <c r="B83" s="40">
        <f t="shared" si="1"/>
        <v>79</v>
      </c>
      <c r="C83" s="27" t="s">
        <v>2640</v>
      </c>
      <c r="D83" s="71" t="s">
        <v>275</v>
      </c>
      <c r="E83" s="27" t="s">
        <v>865</v>
      </c>
      <c r="F83" s="27"/>
      <c r="G83" s="27" t="s">
        <v>3620</v>
      </c>
      <c r="H83" s="89" t="s">
        <v>3649</v>
      </c>
    </row>
    <row r="84" spans="2:9" s="25" customFormat="1" ht="16.5" thickBot="1">
      <c r="B84" s="40">
        <f t="shared" si="1"/>
        <v>80</v>
      </c>
      <c r="C84" s="27" t="s">
        <v>2640</v>
      </c>
      <c r="D84" s="71" t="s">
        <v>275</v>
      </c>
      <c r="E84" s="27" t="s">
        <v>865</v>
      </c>
      <c r="F84" s="27"/>
      <c r="G84" s="27" t="s">
        <v>1816</v>
      </c>
      <c r="H84" s="92" t="s">
        <v>1823</v>
      </c>
    </row>
    <row r="85" spans="2:9" s="25" customFormat="1" ht="16.5" thickBot="1">
      <c r="B85" s="40">
        <f t="shared" si="1"/>
        <v>81</v>
      </c>
      <c r="C85" s="27" t="s">
        <v>2640</v>
      </c>
      <c r="D85" s="71" t="s">
        <v>275</v>
      </c>
      <c r="E85" s="27" t="s">
        <v>865</v>
      </c>
      <c r="F85" s="27"/>
      <c r="G85" s="27" t="s">
        <v>1820</v>
      </c>
      <c r="H85" s="89" t="s">
        <v>3650</v>
      </c>
    </row>
    <row r="86" spans="2:9" s="25" customFormat="1" ht="9" customHeight="1" thickBot="1">
      <c r="B86" s="23">
        <f>B85+1</f>
        <v>82</v>
      </c>
      <c r="C86" s="43"/>
      <c r="D86" s="43"/>
      <c r="E86" s="43"/>
      <c r="F86" s="43"/>
      <c r="G86" s="43"/>
      <c r="H86" s="94"/>
    </row>
    <row r="87" spans="2:9" s="25" customFormat="1" ht="9" customHeight="1" thickBot="1">
      <c r="B87" s="23">
        <f t="shared" si="1"/>
        <v>83</v>
      </c>
      <c r="C87" s="37"/>
      <c r="D87" s="37"/>
      <c r="E87" s="37"/>
      <c r="F87" s="37"/>
      <c r="G87" s="38"/>
      <c r="H87" s="94"/>
    </row>
    <row r="88" spans="2:9" s="25" customFormat="1" ht="16.5" thickBot="1">
      <c r="B88" s="40">
        <f t="shared" si="1"/>
        <v>84</v>
      </c>
      <c r="C88" s="27" t="s">
        <v>2640</v>
      </c>
      <c r="D88" s="69" t="s">
        <v>169</v>
      </c>
      <c r="E88" s="27"/>
      <c r="F88" s="27" t="s">
        <v>866</v>
      </c>
      <c r="G88" s="26"/>
      <c r="H88" s="88"/>
    </row>
    <row r="89" spans="2:9" s="25" customFormat="1" ht="16.5" thickBot="1">
      <c r="B89" s="40">
        <f t="shared" si="1"/>
        <v>85</v>
      </c>
      <c r="C89" s="27" t="s">
        <v>2640</v>
      </c>
      <c r="D89" s="69" t="s">
        <v>169</v>
      </c>
      <c r="E89" s="27"/>
      <c r="F89" s="27" t="s">
        <v>1728</v>
      </c>
      <c r="G89" s="26"/>
      <c r="H89" s="88"/>
      <c r="I89" s="50"/>
    </row>
    <row r="90" spans="2:9" s="25" customFormat="1" ht="16.5" thickBot="1">
      <c r="B90" s="40">
        <f t="shared" si="1"/>
        <v>86</v>
      </c>
      <c r="C90" s="27" t="s">
        <v>2640</v>
      </c>
      <c r="D90" s="69" t="s">
        <v>169</v>
      </c>
      <c r="E90" s="27"/>
      <c r="F90" s="27" t="s">
        <v>1333</v>
      </c>
      <c r="G90" s="27"/>
      <c r="H90" s="89"/>
    </row>
    <row r="91" spans="2:9" s="25" customFormat="1" ht="16.5" thickBot="1">
      <c r="B91" s="40">
        <f t="shared" si="1"/>
        <v>87</v>
      </c>
      <c r="C91" s="27" t="s">
        <v>2640</v>
      </c>
      <c r="D91" s="69" t="s">
        <v>169</v>
      </c>
      <c r="E91" s="27"/>
      <c r="F91" s="27" t="s">
        <v>1333</v>
      </c>
      <c r="G91" s="27"/>
      <c r="H91" s="89"/>
    </row>
    <row r="92" spans="2:9" s="25" customFormat="1" ht="16.5" thickBot="1">
      <c r="B92" s="40">
        <f t="shared" si="1"/>
        <v>88</v>
      </c>
      <c r="C92" s="27" t="s">
        <v>2640</v>
      </c>
      <c r="D92" s="69" t="s">
        <v>169</v>
      </c>
      <c r="E92" s="27"/>
      <c r="F92" s="27" t="s">
        <v>1333</v>
      </c>
      <c r="G92" s="27"/>
      <c r="H92" s="89"/>
    </row>
    <row r="93" spans="2:9" s="25" customFormat="1" ht="16.5" thickBot="1">
      <c r="B93" s="40">
        <f t="shared" si="1"/>
        <v>89</v>
      </c>
      <c r="C93" s="27" t="s">
        <v>2640</v>
      </c>
      <c r="D93" s="69" t="s">
        <v>169</v>
      </c>
      <c r="E93" s="27"/>
      <c r="F93" s="27"/>
      <c r="G93" s="27"/>
      <c r="H93" s="89"/>
    </row>
    <row r="94" spans="2:9" s="25" customFormat="1" ht="9" customHeight="1" thickBot="1">
      <c r="B94" s="23">
        <f t="shared" si="1"/>
        <v>90</v>
      </c>
      <c r="C94" s="43"/>
      <c r="D94" s="43"/>
      <c r="E94" s="43"/>
      <c r="F94" s="43"/>
      <c r="G94" s="43"/>
      <c r="H94" s="94"/>
    </row>
    <row r="95" spans="2:9" s="25" customFormat="1" ht="9" customHeight="1" thickBot="1">
      <c r="B95" s="23">
        <f t="shared" si="1"/>
        <v>91</v>
      </c>
      <c r="C95" s="37"/>
      <c r="D95" s="37"/>
      <c r="E95" s="37"/>
      <c r="F95" s="37"/>
      <c r="G95" s="38"/>
      <c r="H95" s="94"/>
    </row>
    <row r="96" spans="2:9" s="25" customFormat="1" ht="16.5" thickBot="1">
      <c r="B96" s="40">
        <f t="shared" si="1"/>
        <v>92</v>
      </c>
      <c r="C96" s="27" t="s">
        <v>2640</v>
      </c>
      <c r="D96" s="29" t="s">
        <v>276</v>
      </c>
      <c r="E96" s="27" t="s">
        <v>865</v>
      </c>
      <c r="F96" s="27" t="s">
        <v>866</v>
      </c>
      <c r="G96" s="26"/>
      <c r="H96" s="88" t="s">
        <v>2795</v>
      </c>
    </row>
    <row r="97" spans="2:9" s="25" customFormat="1" ht="16.5" thickBot="1">
      <c r="B97" s="40">
        <f t="shared" si="1"/>
        <v>93</v>
      </c>
      <c r="C97" s="27" t="s">
        <v>2640</v>
      </c>
      <c r="D97" s="29" t="s">
        <v>276</v>
      </c>
      <c r="E97" s="27" t="s">
        <v>865</v>
      </c>
      <c r="F97" s="27" t="s">
        <v>1728</v>
      </c>
      <c r="G97" s="26"/>
      <c r="H97" s="88" t="s">
        <v>3962</v>
      </c>
      <c r="I97" s="50" t="s">
        <v>2794</v>
      </c>
    </row>
    <row r="98" spans="2:9" s="25" customFormat="1" ht="16.5" thickBot="1">
      <c r="B98" s="40">
        <f t="shared" si="1"/>
        <v>94</v>
      </c>
      <c r="C98" s="27" t="s">
        <v>2640</v>
      </c>
      <c r="D98" s="29" t="s">
        <v>276</v>
      </c>
      <c r="E98" s="27" t="s">
        <v>865</v>
      </c>
      <c r="F98" s="27" t="s">
        <v>1333</v>
      </c>
      <c r="G98" s="27" t="s">
        <v>949</v>
      </c>
      <c r="H98" s="89" t="s">
        <v>2796</v>
      </c>
    </row>
    <row r="99" spans="2:9" s="25" customFormat="1" ht="16.5" thickBot="1">
      <c r="B99" s="40">
        <f t="shared" si="1"/>
        <v>95</v>
      </c>
      <c r="C99" s="27" t="s">
        <v>2640</v>
      </c>
      <c r="D99" s="29" t="s">
        <v>276</v>
      </c>
      <c r="E99" s="27" t="s">
        <v>865</v>
      </c>
      <c r="F99" s="27" t="s">
        <v>1333</v>
      </c>
      <c r="G99" s="27" t="s">
        <v>951</v>
      </c>
      <c r="H99" s="89" t="s">
        <v>2797</v>
      </c>
    </row>
    <row r="100" spans="2:9" s="25" customFormat="1" ht="9" customHeight="1" thickBot="1">
      <c r="B100" s="23">
        <f t="shared" si="1"/>
        <v>96</v>
      </c>
      <c r="C100" s="43"/>
      <c r="D100" s="43"/>
      <c r="E100" s="43"/>
      <c r="F100" s="43"/>
      <c r="G100" s="43"/>
      <c r="H100" s="94"/>
    </row>
    <row r="101" spans="2:9" s="25" customFormat="1" ht="9" customHeight="1" thickBot="1">
      <c r="B101" s="23">
        <f t="shared" si="1"/>
        <v>97</v>
      </c>
      <c r="C101" s="37"/>
      <c r="D101" s="37"/>
      <c r="E101" s="37"/>
      <c r="F101" s="37"/>
      <c r="G101" s="38"/>
      <c r="H101" s="94"/>
    </row>
    <row r="102" spans="2:9" s="25" customFormat="1" ht="16.5" thickBot="1">
      <c r="B102" s="40">
        <f t="shared" si="1"/>
        <v>98</v>
      </c>
      <c r="C102" s="27" t="s">
        <v>2640</v>
      </c>
      <c r="D102" s="29" t="s">
        <v>277</v>
      </c>
      <c r="E102" s="27" t="s">
        <v>865</v>
      </c>
      <c r="F102" s="27" t="s">
        <v>866</v>
      </c>
      <c r="G102" s="26"/>
      <c r="H102" s="88" t="s">
        <v>2802</v>
      </c>
    </row>
    <row r="103" spans="2:9" s="25" customFormat="1" ht="16.5" thickBot="1">
      <c r="B103" s="40">
        <f t="shared" si="1"/>
        <v>99</v>
      </c>
      <c r="C103" s="27" t="s">
        <v>2640</v>
      </c>
      <c r="D103" s="29" t="s">
        <v>277</v>
      </c>
      <c r="E103" s="27" t="s">
        <v>865</v>
      </c>
      <c r="F103" s="27" t="s">
        <v>1728</v>
      </c>
      <c r="G103" s="26"/>
      <c r="H103" s="88" t="s">
        <v>3963</v>
      </c>
      <c r="I103" s="50" t="s">
        <v>2798</v>
      </c>
    </row>
    <row r="104" spans="2:9" s="25" customFormat="1" ht="16.5" thickBot="1">
      <c r="B104" s="40">
        <f t="shared" si="1"/>
        <v>100</v>
      </c>
      <c r="C104" s="27" t="s">
        <v>2640</v>
      </c>
      <c r="D104" s="29" t="s">
        <v>277</v>
      </c>
      <c r="E104" s="27" t="s">
        <v>865</v>
      </c>
      <c r="F104" s="27" t="s">
        <v>1333</v>
      </c>
      <c r="G104" s="27" t="s">
        <v>951</v>
      </c>
      <c r="H104" s="89" t="s">
        <v>2799</v>
      </c>
    </row>
    <row r="105" spans="2:9" s="25" customFormat="1" ht="16.5" thickBot="1">
      <c r="B105" s="40">
        <f t="shared" si="1"/>
        <v>101</v>
      </c>
      <c r="C105" s="27" t="s">
        <v>2640</v>
      </c>
      <c r="D105" s="29" t="s">
        <v>277</v>
      </c>
      <c r="E105" s="27" t="s">
        <v>865</v>
      </c>
      <c r="F105" s="27" t="s">
        <v>1333</v>
      </c>
      <c r="G105" s="27" t="s">
        <v>949</v>
      </c>
      <c r="H105" s="89" t="s">
        <v>2800</v>
      </c>
    </row>
    <row r="106" spans="2:9" s="25" customFormat="1" ht="32.25" thickBot="1">
      <c r="B106" s="40">
        <f t="shared" si="1"/>
        <v>102</v>
      </c>
      <c r="C106" s="27" t="s">
        <v>2640</v>
      </c>
      <c r="D106" s="29" t="s">
        <v>277</v>
      </c>
      <c r="E106" s="27" t="s">
        <v>865</v>
      </c>
      <c r="F106" s="27"/>
      <c r="G106" s="27" t="s">
        <v>3624</v>
      </c>
      <c r="H106" s="89" t="s">
        <v>3651</v>
      </c>
    </row>
    <row r="107" spans="2:9" s="25" customFormat="1" ht="16.5" thickBot="1">
      <c r="B107" s="40">
        <f t="shared" si="1"/>
        <v>103</v>
      </c>
      <c r="C107" s="27" t="s">
        <v>2640</v>
      </c>
      <c r="D107" s="29" t="s">
        <v>277</v>
      </c>
      <c r="E107" s="27" t="s">
        <v>865</v>
      </c>
      <c r="F107" s="27"/>
      <c r="G107" s="27" t="s">
        <v>2801</v>
      </c>
      <c r="H107" s="89" t="s">
        <v>3652</v>
      </c>
    </row>
    <row r="108" spans="2:9" s="25" customFormat="1" ht="9" customHeight="1" thickBot="1">
      <c r="B108" s="23">
        <f t="shared" si="1"/>
        <v>104</v>
      </c>
      <c r="C108" s="43"/>
      <c r="D108" s="43"/>
      <c r="E108" s="43"/>
      <c r="F108" s="43"/>
      <c r="G108" s="43"/>
      <c r="H108" s="94"/>
    </row>
    <row r="109" spans="2:9" s="25" customFormat="1" ht="9" customHeight="1" thickBot="1">
      <c r="B109" s="23">
        <f t="shared" si="1"/>
        <v>105</v>
      </c>
      <c r="C109" s="37"/>
      <c r="D109" s="37"/>
      <c r="E109" s="37"/>
      <c r="F109" s="37"/>
      <c r="G109" s="38"/>
      <c r="H109" s="94"/>
    </row>
    <row r="110" spans="2:9" s="25" customFormat="1" ht="16.5" thickBot="1">
      <c r="B110" s="40">
        <f t="shared" si="1"/>
        <v>106</v>
      </c>
      <c r="C110" s="27" t="s">
        <v>2640</v>
      </c>
      <c r="D110" s="29" t="s">
        <v>278</v>
      </c>
      <c r="E110" s="27" t="s">
        <v>865</v>
      </c>
      <c r="F110" s="27" t="s">
        <v>866</v>
      </c>
      <c r="G110" s="26"/>
      <c r="H110" s="88" t="s">
        <v>2804</v>
      </c>
    </row>
    <row r="111" spans="2:9" s="25" customFormat="1" ht="16.5" thickBot="1">
      <c r="B111" s="40">
        <f t="shared" si="1"/>
        <v>107</v>
      </c>
      <c r="C111" s="27" t="s">
        <v>2640</v>
      </c>
      <c r="D111" s="29" t="s">
        <v>278</v>
      </c>
      <c r="E111" s="27" t="s">
        <v>865</v>
      </c>
      <c r="F111" s="27" t="s">
        <v>1728</v>
      </c>
      <c r="G111" s="26"/>
      <c r="H111" s="88" t="s">
        <v>3964</v>
      </c>
      <c r="I111" s="50" t="s">
        <v>2803</v>
      </c>
    </row>
    <row r="112" spans="2:9" s="25" customFormat="1" ht="16.5" thickBot="1">
      <c r="B112" s="40">
        <f t="shared" si="1"/>
        <v>108</v>
      </c>
      <c r="C112" s="27" t="s">
        <v>2640</v>
      </c>
      <c r="D112" s="29" t="s">
        <v>278</v>
      </c>
      <c r="E112" s="27" t="s">
        <v>865</v>
      </c>
      <c r="F112" s="27" t="s">
        <v>1333</v>
      </c>
      <c r="G112" s="27" t="s">
        <v>949</v>
      </c>
      <c r="H112" s="89" t="s">
        <v>2805</v>
      </c>
    </row>
    <row r="113" spans="2:11" s="25" customFormat="1" ht="16.5" thickBot="1">
      <c r="B113" s="40">
        <f t="shared" si="1"/>
        <v>109</v>
      </c>
      <c r="C113" s="27" t="s">
        <v>2640</v>
      </c>
      <c r="D113" s="29" t="s">
        <v>278</v>
      </c>
      <c r="E113" s="27" t="s">
        <v>865</v>
      </c>
      <c r="F113" s="27" t="s">
        <v>1333</v>
      </c>
      <c r="G113" s="27" t="s">
        <v>951</v>
      </c>
      <c r="H113" s="89" t="s">
        <v>2806</v>
      </c>
    </row>
    <row r="114" spans="2:11" s="25" customFormat="1" ht="9" customHeight="1" thickBot="1">
      <c r="B114" s="23">
        <f t="shared" si="1"/>
        <v>110</v>
      </c>
      <c r="C114" s="43"/>
      <c r="D114" s="43"/>
      <c r="E114" s="43"/>
      <c r="F114" s="43"/>
      <c r="G114" s="43"/>
      <c r="H114" s="94"/>
    </row>
    <row r="115" spans="2:11" s="25" customFormat="1" ht="9" customHeight="1" thickBot="1">
      <c r="B115" s="23">
        <f t="shared" si="1"/>
        <v>111</v>
      </c>
      <c r="C115" s="37"/>
      <c r="D115" s="37"/>
      <c r="E115" s="37"/>
      <c r="F115" s="37"/>
      <c r="G115" s="38"/>
      <c r="H115" s="94"/>
    </row>
    <row r="116" spans="2:11" s="25" customFormat="1" ht="16.5" thickBot="1">
      <c r="B116" s="40">
        <f t="shared" si="1"/>
        <v>112</v>
      </c>
      <c r="C116" s="27" t="s">
        <v>2640</v>
      </c>
      <c r="D116" s="29" t="s">
        <v>192</v>
      </c>
      <c r="E116" s="27" t="s">
        <v>865</v>
      </c>
      <c r="F116" s="27" t="s">
        <v>866</v>
      </c>
      <c r="G116" s="26"/>
      <c r="H116" s="88" t="s">
        <v>3965</v>
      </c>
    </row>
    <row r="117" spans="2:11" s="25" customFormat="1" ht="16.5" thickBot="1">
      <c r="B117" s="40">
        <f t="shared" si="1"/>
        <v>113</v>
      </c>
      <c r="C117" s="27" t="s">
        <v>2640</v>
      </c>
      <c r="D117" s="29" t="s">
        <v>192</v>
      </c>
      <c r="E117" s="27" t="s">
        <v>865</v>
      </c>
      <c r="F117" s="27" t="s">
        <v>1728</v>
      </c>
      <c r="G117" s="26"/>
      <c r="H117" s="88" t="s">
        <v>3966</v>
      </c>
      <c r="I117" s="50" t="s">
        <v>2807</v>
      </c>
    </row>
    <row r="118" spans="2:11" s="25" customFormat="1" ht="16.5" thickBot="1">
      <c r="B118" s="40">
        <f t="shared" si="1"/>
        <v>114</v>
      </c>
      <c r="C118" s="27" t="s">
        <v>2640</v>
      </c>
      <c r="D118" s="29" t="s">
        <v>192</v>
      </c>
      <c r="E118" s="27" t="s">
        <v>865</v>
      </c>
      <c r="F118" s="27" t="s">
        <v>1333</v>
      </c>
      <c r="G118" s="27" t="s">
        <v>951</v>
      </c>
      <c r="H118" s="89" t="s">
        <v>2808</v>
      </c>
    </row>
    <row r="119" spans="2:11" s="25" customFormat="1" ht="16.5" thickBot="1">
      <c r="B119" s="40">
        <f t="shared" si="1"/>
        <v>115</v>
      </c>
      <c r="C119" s="27" t="s">
        <v>2640</v>
      </c>
      <c r="D119" s="29" t="s">
        <v>192</v>
      </c>
      <c r="E119" s="27" t="s">
        <v>865</v>
      </c>
      <c r="F119" s="27" t="s">
        <v>1333</v>
      </c>
      <c r="G119" s="27" t="s">
        <v>949</v>
      </c>
      <c r="H119" s="89" t="s">
        <v>2809</v>
      </c>
    </row>
    <row r="120" spans="2:11" s="25" customFormat="1" ht="16.5" thickBot="1">
      <c r="B120" s="40">
        <f t="shared" si="1"/>
        <v>116</v>
      </c>
      <c r="C120" s="27" t="s">
        <v>2640</v>
      </c>
      <c r="D120" s="29" t="s">
        <v>192</v>
      </c>
      <c r="E120" s="27" t="s">
        <v>865</v>
      </c>
      <c r="F120" s="27"/>
      <c r="G120" s="27" t="s">
        <v>3625</v>
      </c>
      <c r="H120" s="89" t="s">
        <v>3653</v>
      </c>
    </row>
    <row r="121" spans="2:11" s="25" customFormat="1" ht="16.5" thickBot="1">
      <c r="B121" s="40">
        <f t="shared" si="1"/>
        <v>117</v>
      </c>
      <c r="C121" s="27" t="s">
        <v>2640</v>
      </c>
      <c r="D121" s="29" t="s">
        <v>192</v>
      </c>
      <c r="E121" s="49" t="s">
        <v>865</v>
      </c>
      <c r="F121" s="49"/>
      <c r="G121" s="49" t="s">
        <v>3626</v>
      </c>
      <c r="H121" s="90" t="s">
        <v>3967</v>
      </c>
    </row>
    <row r="122" spans="2:11" s="25" customFormat="1" ht="16.5" thickBot="1">
      <c r="B122" s="40">
        <f t="shared" si="1"/>
        <v>118</v>
      </c>
      <c r="C122" s="27" t="s">
        <v>2640</v>
      </c>
      <c r="D122" s="29" t="s">
        <v>192</v>
      </c>
      <c r="E122" s="49" t="s">
        <v>865</v>
      </c>
      <c r="F122" s="49"/>
      <c r="G122" s="49" t="s">
        <v>3627</v>
      </c>
      <c r="H122" s="95" t="s">
        <v>3968</v>
      </c>
    </row>
    <row r="123" spans="2:11" s="25" customFormat="1" ht="15.75">
      <c r="B123" s="40">
        <f t="shared" si="1"/>
        <v>119</v>
      </c>
      <c r="C123" s="27" t="s">
        <v>2640</v>
      </c>
      <c r="D123" s="29" t="s">
        <v>192</v>
      </c>
      <c r="E123" s="49" t="s">
        <v>865</v>
      </c>
      <c r="F123" s="49"/>
      <c r="G123" s="49" t="s">
        <v>3628</v>
      </c>
      <c r="H123" s="95" t="s">
        <v>3654</v>
      </c>
    </row>
    <row r="124" spans="2:11" s="25" customFormat="1" ht="9" customHeight="1" thickBot="1">
      <c r="B124" s="23">
        <f t="shared" si="1"/>
        <v>120</v>
      </c>
      <c r="C124" s="43"/>
      <c r="D124" s="43"/>
      <c r="E124" s="43"/>
      <c r="F124" s="43"/>
      <c r="G124" s="43"/>
      <c r="H124" s="44"/>
    </row>
    <row r="125" spans="2:11" ht="16.5" thickBot="1">
      <c r="E125" s="25"/>
      <c r="K125" s="10"/>
    </row>
    <row r="126" spans="2:11" ht="15.75" thickBot="1">
      <c r="C126" s="111"/>
      <c r="D126" s="112"/>
      <c r="F126" s="111"/>
      <c r="G126" s="113"/>
      <c r="H126" s="113"/>
      <c r="I126" s="113"/>
      <c r="J126" s="112"/>
    </row>
    <row r="127" spans="2:11">
      <c r="C127" s="72"/>
      <c r="D127" s="73"/>
      <c r="F127" s="72"/>
      <c r="G127" s="76"/>
      <c r="H127" s="76"/>
      <c r="I127" s="76"/>
      <c r="J127" s="73"/>
    </row>
    <row r="128" spans="2:11">
      <c r="C128" s="72"/>
      <c r="D128" s="73"/>
      <c r="F128" s="72"/>
      <c r="G128" s="76"/>
      <c r="H128" s="76"/>
      <c r="I128" s="76"/>
      <c r="J128" s="73"/>
    </row>
    <row r="129" spans="3:10">
      <c r="C129" s="72"/>
      <c r="D129" s="73"/>
      <c r="F129" s="72"/>
      <c r="G129" s="76"/>
      <c r="H129" s="76"/>
      <c r="I129" s="76"/>
      <c r="J129" s="73"/>
    </row>
    <row r="130" spans="3:10">
      <c r="C130" s="72"/>
      <c r="D130" s="73"/>
      <c r="F130" s="72"/>
      <c r="G130" s="76"/>
      <c r="H130" s="76"/>
      <c r="I130" s="76"/>
      <c r="J130" s="73"/>
    </row>
    <row r="131" spans="3:10">
      <c r="C131" s="72"/>
      <c r="D131" s="73"/>
      <c r="F131" s="72"/>
      <c r="G131" s="76"/>
      <c r="H131" s="76"/>
      <c r="I131" s="76"/>
      <c r="J131" s="73"/>
    </row>
    <row r="132" spans="3:10">
      <c r="C132" s="72"/>
      <c r="D132" s="73"/>
      <c r="F132" s="72"/>
      <c r="G132" s="76"/>
      <c r="H132" s="76"/>
      <c r="I132" s="76"/>
      <c r="J132" s="73"/>
    </row>
    <row r="133" spans="3:10">
      <c r="C133" s="72"/>
      <c r="D133" s="73"/>
      <c r="F133" s="72"/>
      <c r="G133" s="76"/>
      <c r="H133" s="76"/>
      <c r="I133" s="76"/>
      <c r="J133" s="73"/>
    </row>
    <row r="134" spans="3:10">
      <c r="C134" s="72"/>
      <c r="D134" s="73"/>
      <c r="F134" s="72"/>
      <c r="G134" s="76"/>
      <c r="H134" s="76"/>
      <c r="I134" s="76"/>
      <c r="J134" s="73"/>
    </row>
    <row r="135" spans="3:10">
      <c r="C135" s="72"/>
      <c r="D135" s="73"/>
      <c r="F135" s="72"/>
      <c r="G135" s="76"/>
      <c r="H135" s="76"/>
      <c r="I135" s="76"/>
      <c r="J135" s="73"/>
    </row>
    <row r="136" spans="3:10">
      <c r="C136" s="72"/>
      <c r="D136" s="73"/>
      <c r="F136" s="72"/>
      <c r="G136" s="76"/>
      <c r="H136" s="76"/>
      <c r="I136" s="76"/>
      <c r="J136" s="73"/>
    </row>
    <row r="137" spans="3:10">
      <c r="C137" s="72"/>
      <c r="D137" s="73"/>
      <c r="F137" s="72"/>
      <c r="G137" s="76"/>
      <c r="H137" s="76"/>
      <c r="I137" s="76"/>
      <c r="J137" s="73"/>
    </row>
    <row r="138" spans="3:10">
      <c r="C138" s="72"/>
      <c r="D138" s="73"/>
      <c r="F138" s="72"/>
      <c r="G138" s="76"/>
      <c r="H138" s="76"/>
      <c r="I138" s="76"/>
      <c r="J138" s="73"/>
    </row>
    <row r="139" spans="3:10">
      <c r="C139" s="72"/>
      <c r="D139" s="73"/>
      <c r="F139" s="72"/>
      <c r="G139" s="76"/>
      <c r="H139" s="76"/>
      <c r="I139" s="76"/>
      <c r="J139" s="73"/>
    </row>
    <row r="140" spans="3:10">
      <c r="C140" s="72"/>
      <c r="D140" s="73"/>
      <c r="F140" s="72"/>
      <c r="G140" s="76"/>
      <c r="H140" s="76"/>
      <c r="I140" s="76"/>
      <c r="J140" s="73"/>
    </row>
    <row r="141" spans="3:10">
      <c r="C141" s="72"/>
      <c r="D141" s="73"/>
      <c r="F141" s="72"/>
      <c r="G141" s="76"/>
      <c r="H141" s="76"/>
      <c r="I141" s="76"/>
      <c r="J141" s="73"/>
    </row>
    <row r="142" spans="3:10">
      <c r="C142" s="72"/>
      <c r="D142" s="73"/>
      <c r="F142" s="72"/>
      <c r="G142" s="76"/>
      <c r="H142" s="76"/>
      <c r="I142" s="76"/>
      <c r="J142" s="73"/>
    </row>
    <row r="143" spans="3:10">
      <c r="C143" s="72"/>
      <c r="D143" s="73"/>
      <c r="F143" s="72"/>
      <c r="G143" s="76"/>
      <c r="H143" s="76"/>
      <c r="I143" s="76"/>
      <c r="J143" s="73"/>
    </row>
    <row r="144" spans="3:10">
      <c r="C144" s="72"/>
      <c r="D144" s="73"/>
      <c r="F144" s="72"/>
      <c r="G144" s="76"/>
      <c r="H144" s="76"/>
      <c r="I144" s="76"/>
      <c r="J144" s="73"/>
    </row>
    <row r="145" spans="3:10">
      <c r="C145" s="72"/>
      <c r="D145" s="73"/>
      <c r="F145" s="72"/>
      <c r="G145" s="76"/>
      <c r="H145" s="76"/>
      <c r="I145" s="76"/>
      <c r="J145" s="73"/>
    </row>
    <row r="146" spans="3:10">
      <c r="C146" s="72"/>
      <c r="D146" s="73"/>
      <c r="F146" s="72"/>
      <c r="G146" s="76"/>
      <c r="H146" s="76"/>
      <c r="I146" s="76"/>
      <c r="J146" s="73"/>
    </row>
    <row r="147" spans="3:10">
      <c r="C147" s="72"/>
      <c r="D147" s="73"/>
      <c r="F147" s="72"/>
      <c r="G147" s="76"/>
      <c r="H147" s="76"/>
      <c r="I147" s="76"/>
      <c r="J147" s="73"/>
    </row>
    <row r="148" spans="3:10">
      <c r="C148" s="72"/>
      <c r="D148" s="73"/>
      <c r="F148" s="72"/>
      <c r="G148" s="76"/>
      <c r="H148" s="76"/>
      <c r="I148" s="76"/>
      <c r="J148" s="73"/>
    </row>
    <row r="149" spans="3:10">
      <c r="C149" s="72"/>
      <c r="D149" s="73"/>
      <c r="F149" s="72"/>
      <c r="G149" s="76"/>
      <c r="H149" s="76"/>
      <c r="I149" s="76"/>
      <c r="J149" s="73"/>
    </row>
    <row r="150" spans="3:10">
      <c r="C150" s="72"/>
      <c r="D150" s="73"/>
      <c r="F150" s="72"/>
      <c r="G150" s="76"/>
      <c r="H150" s="76"/>
      <c r="I150" s="76"/>
      <c r="J150" s="73"/>
    </row>
    <row r="151" spans="3:10">
      <c r="C151" s="72"/>
      <c r="D151" s="73"/>
      <c r="F151" s="72"/>
      <c r="G151" s="76"/>
      <c r="H151" s="76"/>
      <c r="I151" s="76"/>
      <c r="J151" s="73"/>
    </row>
    <row r="152" spans="3:10">
      <c r="C152" s="72"/>
      <c r="D152" s="73"/>
      <c r="F152" s="72"/>
      <c r="G152" s="76"/>
      <c r="H152" s="76"/>
      <c r="I152" s="76"/>
      <c r="J152" s="73"/>
    </row>
    <row r="153" spans="3:10">
      <c r="C153" s="72"/>
      <c r="D153" s="73"/>
      <c r="F153" s="72"/>
      <c r="G153" s="76"/>
      <c r="H153" s="76"/>
      <c r="I153" s="76"/>
      <c r="J153" s="73"/>
    </row>
    <row r="154" spans="3:10">
      <c r="C154" s="72"/>
      <c r="D154" s="73"/>
      <c r="F154" s="72"/>
      <c r="G154" s="76"/>
      <c r="H154" s="76"/>
      <c r="I154" s="76"/>
      <c r="J154" s="73"/>
    </row>
    <row r="155" spans="3:10">
      <c r="C155" s="72"/>
      <c r="D155" s="73"/>
      <c r="F155" s="72"/>
      <c r="G155" s="76"/>
      <c r="H155" s="76"/>
      <c r="I155" s="76"/>
      <c r="J155" s="73"/>
    </row>
    <row r="156" spans="3:10">
      <c r="C156" s="72"/>
      <c r="D156" s="73"/>
      <c r="F156" s="72"/>
      <c r="G156" s="76"/>
      <c r="H156" s="76"/>
      <c r="I156" s="76"/>
      <c r="J156" s="73"/>
    </row>
    <row r="157" spans="3:10">
      <c r="C157" s="72"/>
      <c r="D157" s="73"/>
      <c r="F157" s="72"/>
      <c r="G157" s="76"/>
      <c r="H157" s="76"/>
      <c r="I157" s="76"/>
      <c r="J157" s="73"/>
    </row>
    <row r="158" spans="3:10">
      <c r="C158" s="72"/>
      <c r="D158" s="73"/>
      <c r="F158" s="72"/>
      <c r="G158" s="76"/>
      <c r="H158" s="76"/>
      <c r="I158" s="76"/>
      <c r="J158" s="73"/>
    </row>
    <row r="159" spans="3:10">
      <c r="C159" s="72"/>
      <c r="D159" s="73"/>
      <c r="F159" s="72"/>
      <c r="G159" s="76"/>
      <c r="H159" s="76"/>
      <c r="I159" s="76"/>
      <c r="J159" s="73"/>
    </row>
    <row r="160" spans="3:10">
      <c r="C160" s="72"/>
      <c r="D160" s="73"/>
      <c r="F160" s="72"/>
      <c r="G160" s="76"/>
      <c r="H160" s="76"/>
      <c r="I160" s="76"/>
      <c r="J160" s="73"/>
    </row>
    <row r="161" spans="3:10">
      <c r="C161" s="72"/>
      <c r="D161" s="73"/>
      <c r="F161" s="72"/>
      <c r="G161" s="76"/>
      <c r="H161" s="76"/>
      <c r="I161" s="76"/>
      <c r="J161" s="73"/>
    </row>
    <row r="162" spans="3:10">
      <c r="C162" s="72"/>
      <c r="D162" s="73"/>
      <c r="F162" s="72"/>
      <c r="G162" s="76"/>
      <c r="H162" s="76"/>
      <c r="I162" s="76"/>
      <c r="J162" s="73"/>
    </row>
    <row r="163" spans="3:10">
      <c r="C163" s="72"/>
      <c r="D163" s="73"/>
      <c r="F163" s="72"/>
      <c r="G163" s="76"/>
      <c r="H163" s="76"/>
      <c r="I163" s="76"/>
      <c r="J163" s="73"/>
    </row>
    <row r="164" spans="3:10">
      <c r="C164" s="72"/>
      <c r="D164" s="73"/>
      <c r="F164" s="72"/>
      <c r="G164" s="76"/>
      <c r="H164" s="76"/>
      <c r="I164" s="76"/>
      <c r="J164" s="73"/>
    </row>
    <row r="165" spans="3:10">
      <c r="C165" s="72"/>
      <c r="D165" s="73"/>
      <c r="F165" s="72"/>
      <c r="G165" s="76"/>
      <c r="H165" s="76"/>
      <c r="I165" s="76"/>
      <c r="J165" s="73"/>
    </row>
    <row r="166" spans="3:10">
      <c r="C166" s="72"/>
      <c r="D166" s="73"/>
      <c r="F166" s="72"/>
      <c r="G166" s="76"/>
      <c r="H166" s="76"/>
      <c r="I166" s="76"/>
      <c r="J166" s="73"/>
    </row>
    <row r="167" spans="3:10">
      <c r="C167" s="72"/>
      <c r="D167" s="73"/>
      <c r="F167" s="72"/>
      <c r="G167" s="76"/>
      <c r="H167" s="76"/>
      <c r="I167" s="76"/>
      <c r="J167" s="73"/>
    </row>
    <row r="168" spans="3:10">
      <c r="C168" s="72"/>
      <c r="D168" s="73"/>
      <c r="F168" s="72"/>
      <c r="G168" s="76"/>
      <c r="H168" s="76"/>
      <c r="I168" s="76"/>
      <c r="J168" s="73"/>
    </row>
    <row r="169" spans="3:10">
      <c r="C169" s="72"/>
      <c r="D169" s="73"/>
      <c r="F169" s="72"/>
      <c r="G169" s="76"/>
      <c r="H169" s="76"/>
      <c r="I169" s="76"/>
      <c r="J169" s="73"/>
    </row>
    <row r="170" spans="3:10">
      <c r="C170" s="72"/>
      <c r="D170" s="73"/>
      <c r="F170" s="72"/>
      <c r="G170" s="76"/>
      <c r="H170" s="76"/>
      <c r="I170" s="76"/>
      <c r="J170" s="73"/>
    </row>
    <row r="171" spans="3:10">
      <c r="C171" s="72"/>
      <c r="D171" s="73"/>
      <c r="F171" s="72"/>
      <c r="G171" s="76"/>
      <c r="H171" s="76"/>
      <c r="I171" s="76"/>
      <c r="J171" s="73"/>
    </row>
    <row r="172" spans="3:10">
      <c r="C172" s="72"/>
      <c r="D172" s="73"/>
      <c r="F172" s="72"/>
      <c r="G172" s="76"/>
      <c r="H172" s="76"/>
      <c r="I172" s="76"/>
      <c r="J172" s="73"/>
    </row>
    <row r="173" spans="3:10">
      <c r="C173" s="72"/>
      <c r="D173" s="73"/>
      <c r="F173" s="72"/>
      <c r="G173" s="76"/>
      <c r="H173" s="76"/>
      <c r="I173" s="76"/>
      <c r="J173" s="73"/>
    </row>
    <row r="174" spans="3:10">
      <c r="C174" s="72"/>
      <c r="D174" s="73"/>
      <c r="F174" s="72"/>
      <c r="G174" s="76"/>
      <c r="H174" s="76"/>
      <c r="I174" s="76"/>
      <c r="J174" s="73"/>
    </row>
    <row r="175" spans="3:10">
      <c r="C175" s="72"/>
      <c r="D175" s="73"/>
      <c r="F175" s="72"/>
      <c r="G175" s="76"/>
      <c r="H175" s="76"/>
      <c r="I175" s="76"/>
      <c r="J175" s="73"/>
    </row>
    <row r="176" spans="3:10">
      <c r="C176" s="72"/>
      <c r="D176" s="73"/>
      <c r="F176" s="72"/>
      <c r="G176" s="76"/>
      <c r="H176" s="76"/>
      <c r="I176" s="76"/>
      <c r="J176" s="73"/>
    </row>
    <row r="177" spans="3:10">
      <c r="C177" s="72"/>
      <c r="D177" s="73"/>
      <c r="F177" s="72"/>
      <c r="G177" s="76"/>
      <c r="H177" s="76"/>
      <c r="I177" s="76"/>
      <c r="J177" s="73"/>
    </row>
    <row r="178" spans="3:10">
      <c r="C178" s="72"/>
      <c r="D178" s="73"/>
      <c r="F178" s="72"/>
      <c r="G178" s="76"/>
      <c r="H178" s="76"/>
      <c r="I178" s="76"/>
      <c r="J178" s="73"/>
    </row>
    <row r="179" spans="3:10">
      <c r="C179" s="72"/>
      <c r="D179" s="73"/>
      <c r="F179" s="72"/>
      <c r="G179" s="76"/>
      <c r="H179" s="76"/>
      <c r="I179" s="76"/>
      <c r="J179" s="73"/>
    </row>
    <row r="180" spans="3:10">
      <c r="C180" s="72"/>
      <c r="D180" s="73"/>
      <c r="F180" s="72"/>
      <c r="G180" s="76"/>
      <c r="H180" s="76"/>
      <c r="I180" s="76"/>
      <c r="J180" s="73"/>
    </row>
    <row r="181" spans="3:10">
      <c r="C181" s="72"/>
      <c r="D181" s="73"/>
      <c r="F181" s="72"/>
      <c r="G181" s="76"/>
      <c r="H181" s="76"/>
      <c r="I181" s="76"/>
      <c r="J181" s="73"/>
    </row>
    <row r="182" spans="3:10">
      <c r="C182" s="72"/>
      <c r="D182" s="73"/>
      <c r="F182" s="72"/>
      <c r="G182" s="76"/>
      <c r="H182" s="76"/>
      <c r="I182" s="76"/>
      <c r="J182" s="73"/>
    </row>
    <row r="183" spans="3:10">
      <c r="C183" s="72"/>
      <c r="D183" s="73"/>
      <c r="F183" s="72"/>
      <c r="G183" s="76"/>
      <c r="H183" s="76"/>
      <c r="I183" s="76"/>
      <c r="J183" s="73"/>
    </row>
    <row r="184" spans="3:10">
      <c r="C184" s="72"/>
      <c r="D184" s="73"/>
      <c r="F184" s="72"/>
      <c r="G184" s="76"/>
      <c r="H184" s="76"/>
      <c r="I184" s="76"/>
      <c r="J184" s="73"/>
    </row>
    <row r="185" spans="3:10">
      <c r="C185" s="72"/>
      <c r="D185" s="73"/>
      <c r="F185" s="72"/>
      <c r="G185" s="76"/>
      <c r="H185" s="76"/>
      <c r="I185" s="76"/>
      <c r="J185" s="73"/>
    </row>
    <row r="186" spans="3:10">
      <c r="C186" s="72"/>
      <c r="D186" s="73"/>
      <c r="F186" s="72"/>
      <c r="G186" s="76"/>
      <c r="H186" s="76"/>
      <c r="I186" s="76"/>
      <c r="J186" s="73"/>
    </row>
    <row r="187" spans="3:10">
      <c r="C187" s="72"/>
      <c r="D187" s="73"/>
      <c r="F187" s="72"/>
      <c r="G187" s="76"/>
      <c r="H187" s="76"/>
      <c r="I187" s="76"/>
      <c r="J187" s="73"/>
    </row>
    <row r="188" spans="3:10">
      <c r="C188" s="72"/>
      <c r="D188" s="73"/>
      <c r="F188" s="72"/>
      <c r="G188" s="76"/>
      <c r="H188" s="76"/>
      <c r="I188" s="76"/>
      <c r="J188" s="73"/>
    </row>
    <row r="189" spans="3:10">
      <c r="C189" s="72"/>
      <c r="D189" s="73"/>
      <c r="F189" s="72"/>
      <c r="G189" s="76"/>
      <c r="H189" s="76"/>
      <c r="I189" s="76"/>
      <c r="J189" s="73"/>
    </row>
    <row r="190" spans="3:10">
      <c r="C190" s="72"/>
      <c r="D190" s="73"/>
      <c r="F190" s="72"/>
      <c r="G190" s="76"/>
      <c r="H190" s="76"/>
      <c r="I190" s="76"/>
      <c r="J190" s="73"/>
    </row>
    <row r="191" spans="3:10">
      <c r="C191" s="72"/>
      <c r="D191" s="73"/>
      <c r="F191" s="72"/>
      <c r="G191" s="76"/>
      <c r="H191" s="76"/>
      <c r="I191" s="76"/>
      <c r="J191" s="73"/>
    </row>
    <row r="192" spans="3:10">
      <c r="C192" s="72"/>
      <c r="D192" s="73"/>
      <c r="F192" s="72"/>
      <c r="G192" s="76"/>
      <c r="H192" s="76"/>
      <c r="I192" s="76"/>
      <c r="J192" s="73"/>
    </row>
    <row r="193" spans="3:10">
      <c r="C193" s="72"/>
      <c r="D193" s="73"/>
      <c r="F193" s="72"/>
      <c r="G193" s="76"/>
      <c r="H193" s="76"/>
      <c r="I193" s="76"/>
      <c r="J193" s="73"/>
    </row>
    <row r="194" spans="3:10">
      <c r="C194" s="72"/>
      <c r="D194" s="73"/>
      <c r="F194" s="72"/>
      <c r="G194" s="76"/>
      <c r="H194" s="76"/>
      <c r="I194" s="76"/>
      <c r="J194" s="73"/>
    </row>
    <row r="195" spans="3:10">
      <c r="C195" s="72"/>
      <c r="D195" s="73"/>
      <c r="F195" s="72"/>
      <c r="G195" s="76"/>
      <c r="H195" s="76"/>
      <c r="I195" s="76"/>
      <c r="J195" s="73"/>
    </row>
    <row r="196" spans="3:10">
      <c r="C196" s="72"/>
      <c r="D196" s="73"/>
      <c r="F196" s="72"/>
      <c r="G196" s="76"/>
      <c r="H196" s="76"/>
      <c r="I196" s="76"/>
      <c r="J196" s="73"/>
    </row>
    <row r="197" spans="3:10">
      <c r="C197" s="72"/>
      <c r="D197" s="73"/>
      <c r="F197" s="72"/>
      <c r="G197" s="76"/>
      <c r="H197" s="76"/>
      <c r="I197" s="76"/>
      <c r="J197" s="73"/>
    </row>
    <row r="198" spans="3:10">
      <c r="C198" s="72"/>
      <c r="D198" s="73"/>
      <c r="F198" s="72"/>
      <c r="G198" s="76"/>
      <c r="H198" s="76"/>
      <c r="I198" s="76"/>
      <c r="J198" s="73"/>
    </row>
    <row r="199" spans="3:10">
      <c r="C199" s="72"/>
      <c r="D199" s="73"/>
      <c r="F199" s="72"/>
      <c r="G199" s="76"/>
      <c r="H199" s="76"/>
      <c r="I199" s="76"/>
      <c r="J199" s="73"/>
    </row>
    <row r="200" spans="3:10">
      <c r="C200" s="72"/>
      <c r="D200" s="73"/>
      <c r="F200" s="72"/>
      <c r="G200" s="76"/>
      <c r="H200" s="76"/>
      <c r="I200" s="76"/>
      <c r="J200" s="73"/>
    </row>
    <row r="201" spans="3:10">
      <c r="C201" s="72"/>
      <c r="D201" s="73"/>
      <c r="F201" s="72"/>
      <c r="G201" s="76"/>
      <c r="H201" s="76"/>
      <c r="I201" s="76"/>
      <c r="J201" s="73"/>
    </row>
    <row r="202" spans="3:10">
      <c r="C202" s="72"/>
      <c r="D202" s="73"/>
      <c r="F202" s="72"/>
      <c r="G202" s="76"/>
      <c r="H202" s="76"/>
      <c r="I202" s="76"/>
      <c r="J202" s="73"/>
    </row>
    <row r="203" spans="3:10">
      <c r="C203" s="72"/>
      <c r="D203" s="73"/>
      <c r="F203" s="72"/>
      <c r="G203" s="76"/>
      <c r="H203" s="76"/>
      <c r="I203" s="76"/>
      <c r="J203" s="73"/>
    </row>
    <row r="204" spans="3:10">
      <c r="C204" s="72"/>
      <c r="D204" s="73"/>
      <c r="F204" s="72"/>
      <c r="G204" s="76"/>
      <c r="H204" s="76"/>
      <c r="I204" s="76"/>
      <c r="J204" s="73"/>
    </row>
    <row r="205" spans="3:10">
      <c r="C205" s="72"/>
      <c r="D205" s="73"/>
      <c r="F205" s="72"/>
      <c r="G205" s="76"/>
      <c r="H205" s="76"/>
      <c r="I205" s="76"/>
      <c r="J205" s="73"/>
    </row>
    <row r="206" spans="3:10">
      <c r="C206" s="72"/>
      <c r="D206" s="73"/>
      <c r="F206" s="72"/>
      <c r="G206" s="76"/>
      <c r="H206" s="76"/>
      <c r="I206" s="76"/>
      <c r="J206" s="73"/>
    </row>
    <row r="207" spans="3:10">
      <c r="C207" s="72"/>
      <c r="D207" s="73"/>
      <c r="F207" s="72"/>
      <c r="G207" s="76"/>
      <c r="H207" s="76"/>
      <c r="I207" s="76"/>
      <c r="J207" s="73"/>
    </row>
    <row r="208" spans="3:10">
      <c r="C208" s="72"/>
      <c r="D208" s="73"/>
      <c r="F208" s="72"/>
      <c r="G208" s="76"/>
      <c r="H208" s="76"/>
      <c r="I208" s="76"/>
      <c r="J208" s="73"/>
    </row>
    <row r="209" spans="3:10" ht="15.75" thickBot="1">
      <c r="C209" s="72"/>
      <c r="D209" s="73"/>
      <c r="F209" s="74"/>
      <c r="G209" s="77"/>
      <c r="H209" s="77"/>
      <c r="I209" s="77"/>
      <c r="J209" s="75"/>
    </row>
    <row r="210" spans="3:10">
      <c r="C210" s="72"/>
      <c r="D210" s="73"/>
    </row>
    <row r="211" spans="3:10">
      <c r="C211" s="72"/>
      <c r="D211" s="73"/>
    </row>
    <row r="212" spans="3:10">
      <c r="C212" s="72"/>
      <c r="D212" s="73"/>
    </row>
    <row r="213" spans="3:10">
      <c r="C213" s="72"/>
      <c r="D213" s="73"/>
    </row>
    <row r="214" spans="3:10">
      <c r="C214" s="72"/>
      <c r="D214" s="73"/>
    </row>
    <row r="215" spans="3:10">
      <c r="C215" s="72"/>
      <c r="D215" s="73"/>
    </row>
    <row r="216" spans="3:10">
      <c r="C216" s="72"/>
      <c r="D216" s="83"/>
    </row>
    <row r="217" spans="3:10">
      <c r="C217" s="72"/>
      <c r="D217" s="73"/>
    </row>
    <row r="218" spans="3:10">
      <c r="C218" s="72"/>
      <c r="D218" s="73"/>
    </row>
    <row r="219" spans="3:10">
      <c r="C219" s="72"/>
      <c r="D219" s="73"/>
    </row>
    <row r="220" spans="3:10">
      <c r="C220" s="72"/>
      <c r="D220" s="73"/>
    </row>
    <row r="221" spans="3:10">
      <c r="C221" s="72"/>
      <c r="D221" s="73"/>
    </row>
    <row r="222" spans="3:10">
      <c r="C222" s="72"/>
      <c r="D222" s="73"/>
    </row>
    <row r="223" spans="3:10">
      <c r="C223" s="72"/>
      <c r="D223" s="73"/>
    </row>
    <row r="224" spans="3:10">
      <c r="C224" s="72"/>
      <c r="D224" s="73"/>
    </row>
    <row r="225" spans="3:4">
      <c r="C225" s="72"/>
      <c r="D225" s="73"/>
    </row>
    <row r="226" spans="3:4">
      <c r="C226" s="72"/>
      <c r="D226" s="73"/>
    </row>
    <row r="227" spans="3:4">
      <c r="C227" s="72"/>
      <c r="D227" s="73"/>
    </row>
    <row r="228" spans="3:4">
      <c r="C228" s="72"/>
      <c r="D228" s="73"/>
    </row>
    <row r="229" spans="3:4">
      <c r="C229" s="72"/>
      <c r="D229" s="73"/>
    </row>
    <row r="230" spans="3:4">
      <c r="C230" s="72"/>
      <c r="D230" s="73"/>
    </row>
    <row r="231" spans="3:4">
      <c r="C231" s="72"/>
      <c r="D231" s="73"/>
    </row>
    <row r="232" spans="3:4">
      <c r="C232" s="72"/>
      <c r="D232" s="73"/>
    </row>
    <row r="233" spans="3:4">
      <c r="C233" s="72"/>
      <c r="D233" s="73"/>
    </row>
    <row r="234" spans="3:4">
      <c r="C234" s="72"/>
      <c r="D234" s="73"/>
    </row>
    <row r="235" spans="3:4">
      <c r="C235" s="72"/>
      <c r="D235" s="73"/>
    </row>
    <row r="236" spans="3:4">
      <c r="C236" s="72"/>
      <c r="D236" s="73"/>
    </row>
    <row r="237" spans="3:4">
      <c r="C237" s="72"/>
      <c r="D237" s="73"/>
    </row>
    <row r="238" spans="3:4">
      <c r="C238" s="72"/>
      <c r="D238" s="73"/>
    </row>
    <row r="239" spans="3:4">
      <c r="C239" s="72"/>
      <c r="D239" s="73"/>
    </row>
    <row r="240" spans="3:4">
      <c r="C240" s="72"/>
      <c r="D240" s="73"/>
    </row>
    <row r="241" spans="3:4" ht="15.75" thickBot="1">
      <c r="C241" s="74"/>
      <c r="D241" s="75"/>
    </row>
  </sheetData>
  <mergeCells count="3">
    <mergeCell ref="C1:H1"/>
    <mergeCell ref="C126:D126"/>
    <mergeCell ref="F126:J126"/>
  </mergeCells>
  <dataValidations count="5">
    <dataValidation type="list" allowBlank="1" showInputMessage="1" showErrorMessage="1" sqref="E116:E123 E102:E107 E110:E113 E88:E93 E96:E99 E62:E72 E42:E48 E34:E39 E51:E59 E19:E24 E13:E16 E5:E10 E27:E31 E75:E85">
      <formula1>"Servicios,Referencia"</formula1>
    </dataValidation>
    <dataValidation type="list" allowBlank="1" showInputMessage="1" showErrorMessage="1" sqref="F116:F123 F102:F107 F110:F113 F88:F93 F96:F99 F62:F72 F42:F48 F34:F39 F51:F59 F19:F24 F5:F10 F13:F16 F27:F31 F75:F85">
      <formula1>Clase</formula1>
    </dataValidation>
    <dataValidation type="list" allowBlank="1" showInputMessage="1" showErrorMessage="1" sqref="D116:D123 D102:D107 D88:D93 D96:D99 D110:D113 D62:D72 D34:D39 D51:D59 D42:D48 D13:D16 D19:D24 D5:D10 D27:D31 D75:D85">
      <formula1>Estaciones</formula1>
    </dataValidation>
    <dataValidation type="list" allowBlank="1" showInputMessage="1" showErrorMessage="1" sqref="C116:C123 C110:C113 C96:C99 C88:C93 C102:C107 C62:C72 C42:C48 C51:C59 C34:C39 C19:C24 C13:C16 C5:C10 C27:C31 C75:C85">
      <formula1>Grupo</formula1>
    </dataValidation>
    <dataValidation type="custom" allowBlank="1" showInputMessage="1" showErrorMessage="1" sqref="E124 E114:E115 E108:E109 E100:E101 E86:E87 E94:E95 E60:E61 E49:E50 E40:E41 E32:E33 E17:E18 E11:E12 E3:E4 E25:E26 E73:E74">
      <formula1>"Referencia,Servicios"</formula1>
    </dataValidation>
  </dataValidations>
  <hyperlinks>
    <hyperlink ref="I14" r:id="rId1" display="http://toolserver.org/~geohack/geohack.php?pagename=Aquiles_Serd%C3%A1n_(estaci%C3%B3n)&amp;language=es&amp;params=19.490423_N_99.19487_W_region:MX_type:railwaystation"/>
    <hyperlink ref="I20" r:id="rId2" display="http://toolserver.org/~geohack/geohack.php?pagename=Camarones_(estaci%C3%B3n)&amp;language=es&amp;params=19.479135_N_99.190063_W_region:MX_type:railwaystation"/>
    <hyperlink ref="I28" r:id="rId3" display="http://toolserver.org/~geohack/geohack.php?pagename=Refiner%C3%ADa_(estaci%C3%B3n)&amp;language=es&amp;params=19.469951_N_99.190578_W_region:MX_type:railwaystation"/>
    <hyperlink ref="I43" r:id="rId4" display="http://toolserver.org/~geohack/geohack.php?pagename=San_Joaqu%C3%ADn_(estaci%C3%B3n_Metro_de_Ciudad_de_M%C3%A9xico)&amp;language=es&amp;params=19.445793_N_99.191823_W_region:MX_type:railwaystation"/>
    <hyperlink ref="I52" r:id="rId5" display="http://toolserver.org/~geohack/geohack.php?pagename=Polanco_(estaci%C3%B3n)&amp;language=es&amp;params=19.433511_N_99.191029_W_region:MX_type:railwaystation"/>
    <hyperlink ref="I63" r:id="rId6" display="http://toolserver.org/~geohack/geohack.php?pagename=Auditorio_(estaci%C3%B3n)&amp;language=es&amp;params=19.425498_N_99.191995_W_region:MX_type:railwaystation"/>
    <hyperlink ref="I76" r:id="rId7" display="http://toolserver.org/~geohack/geohack.php?pagename=Constituyentes_(estaci%C3%B3n)&amp;language=es&amp;params=19.411858_N_99.191265_W_region:MX_type:railwaystation"/>
    <hyperlink ref="I97" r:id="rId8" display="http://toolserver.org/~geohack/geohack.php?pagename=San_Pedro_de_los_Pinos_(estaci%C3%B3n)&amp;language=es&amp;params=19.391275_N_99.186051_W_region:MX_type:railwaystation"/>
    <hyperlink ref="I103" r:id="rId9" display="http://toolserver.org/~geohack/geohack.php?pagename=San_Antonio_(estaci%C3%B3n_Metro_de_Ciudad_de_M%C3%A9xico)&amp;language=es&amp;params=19.384757_N_99.186308_W_region:MX_type:railwaystation"/>
    <hyperlink ref="I111" r:id="rId10" display="http://toolserver.org/~geohack/geohack.php?pagename=Mixcoac_(estaci%C3%B3n)&amp;language=es&amp;params=19.375891_N_99.187531_W_region:MX_type:railwaystation"/>
    <hyperlink ref="I117" r:id="rId11" display="http://toolserver.org/~geohack/geohack.php?pagename=Barranca_del_Muerto_(estaci%C3%B3n)&amp;language=es&amp;params=19.360648_N_99.190149_W_region:MX_type:railwaystation"/>
  </hyperlinks>
  <pageMargins left="0.7" right="0.7" top="0.75" bottom="0.75" header="0.3" footer="0.3"/>
  <legacyDrawing r:id="rId12"/>
</worksheet>
</file>

<file path=xl/worksheets/sheet18.xml><?xml version="1.0" encoding="utf-8"?>
<worksheet xmlns="http://schemas.openxmlformats.org/spreadsheetml/2006/main" xmlns:r="http://schemas.openxmlformats.org/officeDocument/2006/relationships">
  <sheetPr codeName="Hoja22"/>
  <dimension ref="B1:K274"/>
  <sheetViews>
    <sheetView topLeftCell="A130" workbookViewId="0">
      <selection activeCell="G30" sqref="G30"/>
    </sheetView>
  </sheetViews>
  <sheetFormatPr baseColWidth="10" defaultRowHeight="15"/>
  <cols>
    <col min="1" max="1" width="3" customWidth="1"/>
    <col min="2" max="2" width="4.42578125" bestFit="1" customWidth="1"/>
    <col min="3" max="3" width="20"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153</v>
      </c>
      <c r="C3" s="33" t="s">
        <v>2</v>
      </c>
      <c r="D3" s="34" t="s">
        <v>1</v>
      </c>
      <c r="E3" s="34" t="s">
        <v>862</v>
      </c>
      <c r="F3" s="34" t="s">
        <v>863</v>
      </c>
      <c r="G3" s="34" t="s">
        <v>864</v>
      </c>
      <c r="H3" s="35" t="s">
        <v>358</v>
      </c>
    </row>
    <row r="4" spans="2:9" s="25" customFormat="1" ht="9" customHeight="1">
      <c r="B4" s="46"/>
      <c r="C4" s="37"/>
      <c r="D4" s="37"/>
      <c r="E4" s="37"/>
      <c r="F4" s="37"/>
      <c r="G4" s="38"/>
      <c r="H4" s="39"/>
    </row>
    <row r="5" spans="2:9" s="25" customFormat="1" ht="15.75">
      <c r="B5" s="40">
        <v>1</v>
      </c>
      <c r="C5" s="27" t="s">
        <v>2641</v>
      </c>
      <c r="D5" s="69" t="s">
        <v>175</v>
      </c>
      <c r="E5" s="27"/>
      <c r="F5" s="27" t="s">
        <v>866</v>
      </c>
      <c r="G5" s="26"/>
      <c r="H5" s="41"/>
    </row>
    <row r="6" spans="2:9" s="25" customFormat="1" ht="15.75">
      <c r="B6" s="40">
        <f t="shared" ref="B6:B74" si="0">B5+1</f>
        <v>2</v>
      </c>
      <c r="C6" s="27" t="s">
        <v>2641</v>
      </c>
      <c r="D6" s="69" t="s">
        <v>175</v>
      </c>
      <c r="E6" s="27"/>
      <c r="F6" s="27" t="s">
        <v>1728</v>
      </c>
      <c r="G6" s="26"/>
      <c r="H6" s="41"/>
      <c r="I6" s="50"/>
    </row>
    <row r="7" spans="2:9" s="25" customFormat="1" ht="15.75">
      <c r="B7" s="40">
        <f t="shared" si="0"/>
        <v>3</v>
      </c>
      <c r="C7" s="27" t="s">
        <v>2641</v>
      </c>
      <c r="D7" s="69" t="s">
        <v>175</v>
      </c>
      <c r="E7" s="27"/>
      <c r="F7" s="27" t="s">
        <v>1333</v>
      </c>
      <c r="G7" s="27"/>
      <c r="H7" s="42"/>
    </row>
    <row r="8" spans="2:9" s="25" customFormat="1" ht="15.75">
      <c r="B8" s="40">
        <f t="shared" si="0"/>
        <v>4</v>
      </c>
      <c r="C8" s="27" t="s">
        <v>2641</v>
      </c>
      <c r="D8" s="69" t="s">
        <v>175</v>
      </c>
      <c r="E8" s="27"/>
      <c r="F8" s="27" t="s">
        <v>1333</v>
      </c>
      <c r="G8" s="27"/>
      <c r="H8" s="42"/>
    </row>
    <row r="9" spans="2:9" s="25" customFormat="1" ht="15.75">
      <c r="B9" s="40">
        <f t="shared" si="0"/>
        <v>5</v>
      </c>
      <c r="C9" s="27" t="s">
        <v>2641</v>
      </c>
      <c r="D9" s="69" t="s">
        <v>175</v>
      </c>
      <c r="E9" s="27"/>
      <c r="F9" s="27" t="s">
        <v>1333</v>
      </c>
      <c r="G9" s="27"/>
      <c r="H9" s="51"/>
    </row>
    <row r="10" spans="2:9" s="25" customFormat="1" ht="15.75">
      <c r="B10" s="40">
        <f t="shared" si="0"/>
        <v>6</v>
      </c>
      <c r="C10" s="27" t="s">
        <v>2641</v>
      </c>
      <c r="D10" s="69" t="s">
        <v>175</v>
      </c>
      <c r="E10" s="27"/>
      <c r="F10" s="27"/>
      <c r="G10" s="49"/>
      <c r="H10" s="51"/>
    </row>
    <row r="11" spans="2:9" s="25" customFormat="1" ht="9" customHeight="1" thickBot="1">
      <c r="B11" s="56">
        <f t="shared" si="0"/>
        <v>7</v>
      </c>
      <c r="C11" s="54"/>
      <c r="D11" s="54"/>
      <c r="E11" s="54"/>
      <c r="F11" s="54"/>
      <c r="G11" s="54"/>
      <c r="H11" s="55"/>
    </row>
    <row r="12" spans="2:9" s="25" customFormat="1" ht="9" customHeight="1" thickBot="1">
      <c r="B12" s="23">
        <f t="shared" si="0"/>
        <v>8</v>
      </c>
      <c r="C12" s="37"/>
      <c r="D12" s="37"/>
      <c r="E12" s="37"/>
      <c r="F12" s="37"/>
      <c r="G12" s="38"/>
      <c r="H12" s="39"/>
    </row>
    <row r="13" spans="2:9" s="25" customFormat="1" ht="15.75">
      <c r="B13" s="40">
        <f t="shared" si="0"/>
        <v>9</v>
      </c>
      <c r="C13" s="27" t="s">
        <v>2641</v>
      </c>
      <c r="D13" s="69" t="s">
        <v>227</v>
      </c>
      <c r="E13" s="27"/>
      <c r="F13" s="27" t="s">
        <v>866</v>
      </c>
      <c r="G13" s="62"/>
      <c r="H13" s="63"/>
    </row>
    <row r="14" spans="2:9" s="25" customFormat="1" ht="15.75">
      <c r="B14" s="40">
        <f t="shared" si="0"/>
        <v>10</v>
      </c>
      <c r="C14" s="27" t="s">
        <v>2641</v>
      </c>
      <c r="D14" s="69" t="s">
        <v>227</v>
      </c>
      <c r="E14" s="27"/>
      <c r="F14" s="27" t="s">
        <v>1728</v>
      </c>
      <c r="G14" s="26"/>
      <c r="H14" s="41"/>
      <c r="I14" s="50"/>
    </row>
    <row r="15" spans="2:9" s="25" customFormat="1" ht="15.75">
      <c r="B15" s="40">
        <f t="shared" si="0"/>
        <v>11</v>
      </c>
      <c r="C15" s="27" t="s">
        <v>2641</v>
      </c>
      <c r="D15" s="69" t="s">
        <v>227</v>
      </c>
      <c r="E15" s="27"/>
      <c r="F15" s="27" t="s">
        <v>1333</v>
      </c>
      <c r="G15" s="27"/>
      <c r="H15" s="41"/>
    </row>
    <row r="16" spans="2:9" s="25" customFormat="1" ht="15.75">
      <c r="B16" s="40">
        <f t="shared" si="0"/>
        <v>12</v>
      </c>
      <c r="C16" s="27" t="s">
        <v>2641</v>
      </c>
      <c r="D16" s="69" t="s">
        <v>227</v>
      </c>
      <c r="E16" s="27"/>
      <c r="F16" s="27" t="s">
        <v>1333</v>
      </c>
      <c r="G16" s="27"/>
      <c r="H16" s="41"/>
    </row>
    <row r="17" spans="2:9" s="25" customFormat="1" ht="15.75">
      <c r="B17" s="40">
        <f>B16+1</f>
        <v>13</v>
      </c>
      <c r="C17" s="27" t="s">
        <v>2641</v>
      </c>
      <c r="D17" s="69" t="s">
        <v>227</v>
      </c>
      <c r="E17" s="27"/>
      <c r="F17" s="27" t="s">
        <v>1333</v>
      </c>
      <c r="G17" s="27"/>
      <c r="H17" s="41"/>
    </row>
    <row r="18" spans="2:9" s="25" customFormat="1" ht="15.75">
      <c r="B18" s="40">
        <f>B17+1</f>
        <v>14</v>
      </c>
      <c r="C18" s="27" t="s">
        <v>2641</v>
      </c>
      <c r="D18" s="69" t="s">
        <v>227</v>
      </c>
      <c r="E18" s="27"/>
      <c r="F18" s="27"/>
      <c r="G18" s="27"/>
      <c r="H18" s="41"/>
    </row>
    <row r="19" spans="2:9" s="25" customFormat="1" ht="9" customHeight="1" thickBot="1">
      <c r="B19" s="56">
        <f t="shared" si="0"/>
        <v>15</v>
      </c>
      <c r="C19" s="57"/>
      <c r="D19" s="57"/>
      <c r="E19" s="57"/>
      <c r="F19" s="57"/>
      <c r="G19" s="57"/>
      <c r="H19" s="58"/>
    </row>
    <row r="20" spans="2:9" s="25" customFormat="1" ht="9" customHeight="1" thickBot="1">
      <c r="B20" s="23">
        <f t="shared" si="0"/>
        <v>16</v>
      </c>
      <c r="C20" s="37"/>
      <c r="D20" s="37"/>
      <c r="E20" s="37"/>
      <c r="F20" s="37"/>
      <c r="G20" s="38"/>
      <c r="H20" s="39"/>
    </row>
    <row r="21" spans="2:9" s="25" customFormat="1" ht="16.5" thickBot="1">
      <c r="B21" s="40">
        <f t="shared" si="0"/>
        <v>17</v>
      </c>
      <c r="C21" s="27" t="s">
        <v>2641</v>
      </c>
      <c r="D21" s="29" t="s">
        <v>279</v>
      </c>
      <c r="E21" s="27" t="s">
        <v>865</v>
      </c>
      <c r="F21" s="27" t="s">
        <v>866</v>
      </c>
      <c r="G21" s="26"/>
      <c r="H21" s="87" t="s">
        <v>2811</v>
      </c>
    </row>
    <row r="22" spans="2:9" s="25" customFormat="1" ht="16.5" thickBot="1">
      <c r="B22" s="40">
        <f t="shared" si="0"/>
        <v>18</v>
      </c>
      <c r="C22" s="27" t="s">
        <v>2641</v>
      </c>
      <c r="D22" s="29" t="s">
        <v>279</v>
      </c>
      <c r="E22" s="27" t="s">
        <v>865</v>
      </c>
      <c r="F22" s="27" t="s">
        <v>1728</v>
      </c>
      <c r="G22" s="26"/>
      <c r="H22" s="88" t="s">
        <v>3969</v>
      </c>
      <c r="I22" s="50" t="s">
        <v>2810</v>
      </c>
    </row>
    <row r="23" spans="2:9" s="25" customFormat="1" ht="16.5" thickBot="1">
      <c r="B23" s="40">
        <f t="shared" si="0"/>
        <v>19</v>
      </c>
      <c r="C23" s="27" t="s">
        <v>2641</v>
      </c>
      <c r="D23" s="29" t="s">
        <v>279</v>
      </c>
      <c r="E23" s="27" t="s">
        <v>865</v>
      </c>
      <c r="F23" s="27" t="s">
        <v>1333</v>
      </c>
      <c r="G23" s="27" t="s">
        <v>921</v>
      </c>
      <c r="H23" s="88" t="s">
        <v>2812</v>
      </c>
    </row>
    <row r="24" spans="2:9" s="25" customFormat="1" ht="16.5" thickBot="1">
      <c r="B24" s="40">
        <f t="shared" si="0"/>
        <v>20</v>
      </c>
      <c r="C24" s="27" t="s">
        <v>2641</v>
      </c>
      <c r="D24" s="29" t="s">
        <v>279</v>
      </c>
      <c r="E24" s="27" t="s">
        <v>865</v>
      </c>
      <c r="F24" s="27" t="s">
        <v>1333</v>
      </c>
      <c r="G24" s="27" t="s">
        <v>923</v>
      </c>
      <c r="H24" s="88" t="s">
        <v>2813</v>
      </c>
    </row>
    <row r="25" spans="2:9" s="25" customFormat="1" ht="16.5" thickBot="1">
      <c r="B25" s="40">
        <f t="shared" si="0"/>
        <v>21</v>
      </c>
      <c r="C25" s="27" t="s">
        <v>2641</v>
      </c>
      <c r="D25" s="29" t="s">
        <v>279</v>
      </c>
      <c r="E25" s="27" t="s">
        <v>865</v>
      </c>
      <c r="F25" s="27" t="s">
        <v>1333</v>
      </c>
      <c r="G25" s="27" t="s">
        <v>989</v>
      </c>
      <c r="H25" s="88" t="s">
        <v>2814</v>
      </c>
    </row>
    <row r="26" spans="2:9" s="25" customFormat="1" ht="16.5" thickBot="1">
      <c r="B26" s="40">
        <f t="shared" si="0"/>
        <v>22</v>
      </c>
      <c r="C26" s="27" t="s">
        <v>2641</v>
      </c>
      <c r="D26" s="29" t="s">
        <v>279</v>
      </c>
      <c r="E26" s="27" t="s">
        <v>865</v>
      </c>
      <c r="F26" s="27" t="s">
        <v>1333</v>
      </c>
      <c r="G26" s="27" t="s">
        <v>992</v>
      </c>
      <c r="H26" s="88" t="s">
        <v>2815</v>
      </c>
    </row>
    <row r="27" spans="2:9" s="25" customFormat="1" ht="16.5" thickBot="1">
      <c r="B27" s="40">
        <f t="shared" si="0"/>
        <v>23</v>
      </c>
      <c r="C27" s="27" t="s">
        <v>2641</v>
      </c>
      <c r="D27" s="29" t="s">
        <v>279</v>
      </c>
      <c r="E27" s="27" t="s">
        <v>865</v>
      </c>
      <c r="F27" s="27"/>
      <c r="G27" s="27" t="s">
        <v>3655</v>
      </c>
      <c r="H27" s="101" t="s">
        <v>3656</v>
      </c>
    </row>
    <row r="28" spans="2:9" s="25" customFormat="1" ht="16.5" thickBot="1">
      <c r="B28" s="40">
        <f t="shared" si="0"/>
        <v>24</v>
      </c>
      <c r="C28" s="27" t="s">
        <v>2641</v>
      </c>
      <c r="D28" s="29" t="s">
        <v>279</v>
      </c>
      <c r="E28" s="27" t="s">
        <v>865</v>
      </c>
      <c r="F28" s="27"/>
      <c r="G28" s="49" t="s">
        <v>3658</v>
      </c>
      <c r="H28" s="103" t="s">
        <v>3657</v>
      </c>
    </row>
    <row r="29" spans="2:9" s="25" customFormat="1" ht="16.5" thickBot="1">
      <c r="B29" s="40">
        <f t="shared" si="0"/>
        <v>25</v>
      </c>
      <c r="C29" s="27" t="s">
        <v>2641</v>
      </c>
      <c r="D29" s="29" t="s">
        <v>279</v>
      </c>
      <c r="E29" s="27" t="s">
        <v>865</v>
      </c>
      <c r="F29" s="27"/>
      <c r="G29" s="49" t="s">
        <v>3659</v>
      </c>
      <c r="H29" s="103" t="s">
        <v>3657</v>
      </c>
    </row>
    <row r="30" spans="2:9" s="25" customFormat="1" ht="16.5" thickBot="1">
      <c r="B30" s="40">
        <f t="shared" si="0"/>
        <v>26</v>
      </c>
      <c r="C30" s="27" t="s">
        <v>2641</v>
      </c>
      <c r="D30" s="29" t="s">
        <v>279</v>
      </c>
      <c r="E30" s="27" t="s">
        <v>865</v>
      </c>
      <c r="F30" s="27"/>
      <c r="G30" s="49" t="s">
        <v>3660</v>
      </c>
      <c r="H30" s="103" t="s">
        <v>3661</v>
      </c>
    </row>
    <row r="31" spans="2:9" s="25" customFormat="1" ht="9" customHeight="1" thickBot="1">
      <c r="B31" s="23">
        <f t="shared" si="0"/>
        <v>27</v>
      </c>
      <c r="C31" s="43"/>
      <c r="D31" s="43"/>
      <c r="E31" s="43"/>
      <c r="F31" s="43"/>
      <c r="G31" s="43"/>
      <c r="H31" s="96"/>
    </row>
    <row r="32" spans="2:9" s="25" customFormat="1" ht="9" customHeight="1" thickBot="1">
      <c r="B32" s="23">
        <f t="shared" si="0"/>
        <v>28</v>
      </c>
      <c r="C32" s="37"/>
      <c r="D32" s="37"/>
      <c r="E32" s="37"/>
      <c r="F32" s="37"/>
      <c r="G32" s="38"/>
      <c r="H32" s="94"/>
    </row>
    <row r="33" spans="2:9" s="25" customFormat="1" ht="16.5" thickBot="1">
      <c r="B33" s="40">
        <f t="shared" si="0"/>
        <v>29</v>
      </c>
      <c r="C33" s="27" t="s">
        <v>2641</v>
      </c>
      <c r="D33" s="69" t="s">
        <v>208</v>
      </c>
      <c r="E33" s="27"/>
      <c r="F33" s="27" t="s">
        <v>866</v>
      </c>
      <c r="G33" s="26"/>
      <c r="H33" s="88"/>
    </row>
    <row r="34" spans="2:9" s="25" customFormat="1" ht="16.5" thickBot="1">
      <c r="B34" s="40">
        <f t="shared" si="0"/>
        <v>30</v>
      </c>
      <c r="C34" s="27" t="s">
        <v>2641</v>
      </c>
      <c r="D34" s="69" t="s">
        <v>208</v>
      </c>
      <c r="E34" s="27"/>
      <c r="F34" s="27" t="s">
        <v>1728</v>
      </c>
      <c r="G34" s="26"/>
      <c r="H34" s="89"/>
      <c r="I34" s="50"/>
    </row>
    <row r="35" spans="2:9" s="25" customFormat="1" ht="16.5" thickBot="1">
      <c r="B35" s="40">
        <f t="shared" si="0"/>
        <v>31</v>
      </c>
      <c r="C35" s="27" t="s">
        <v>2641</v>
      </c>
      <c r="D35" s="69" t="s">
        <v>208</v>
      </c>
      <c r="E35" s="27"/>
      <c r="F35" s="27" t="s">
        <v>1333</v>
      </c>
      <c r="G35" s="27"/>
      <c r="H35" s="89"/>
    </row>
    <row r="36" spans="2:9" s="25" customFormat="1" ht="16.5" thickBot="1">
      <c r="B36" s="40">
        <f t="shared" si="0"/>
        <v>32</v>
      </c>
      <c r="C36" s="27" t="s">
        <v>2641</v>
      </c>
      <c r="D36" s="69" t="s">
        <v>208</v>
      </c>
      <c r="E36" s="27"/>
      <c r="F36" s="27" t="s">
        <v>1333</v>
      </c>
      <c r="G36" s="27"/>
      <c r="H36" s="89"/>
    </row>
    <row r="37" spans="2:9" s="25" customFormat="1" ht="16.5" thickBot="1">
      <c r="B37" s="40">
        <f t="shared" si="0"/>
        <v>33</v>
      </c>
      <c r="C37" s="27" t="s">
        <v>2641</v>
      </c>
      <c r="D37" s="69" t="s">
        <v>208</v>
      </c>
      <c r="E37" s="27"/>
      <c r="F37" s="27" t="s">
        <v>1333</v>
      </c>
      <c r="G37" s="27"/>
      <c r="H37" s="89"/>
    </row>
    <row r="38" spans="2:9" s="25" customFormat="1" ht="16.5" thickBot="1">
      <c r="B38" s="40">
        <f t="shared" si="0"/>
        <v>34</v>
      </c>
      <c r="C38" s="27" t="s">
        <v>2641</v>
      </c>
      <c r="D38" s="69" t="s">
        <v>208</v>
      </c>
      <c r="E38" s="27"/>
      <c r="F38" s="27"/>
      <c r="G38" s="27"/>
      <c r="H38" s="89"/>
    </row>
    <row r="39" spans="2:9" s="25" customFormat="1" ht="9" customHeight="1" thickBot="1">
      <c r="B39" s="23">
        <f t="shared" si="0"/>
        <v>35</v>
      </c>
      <c r="C39" s="43"/>
      <c r="D39" s="43"/>
      <c r="E39" s="43"/>
      <c r="F39" s="43"/>
      <c r="G39" s="43"/>
      <c r="H39" s="94"/>
    </row>
    <row r="40" spans="2:9" s="25" customFormat="1" ht="9" customHeight="1" thickBot="1">
      <c r="B40" s="23">
        <f t="shared" si="0"/>
        <v>36</v>
      </c>
      <c r="C40" s="37"/>
      <c r="D40" s="37"/>
      <c r="E40" s="37"/>
      <c r="F40" s="37"/>
      <c r="G40" s="38"/>
      <c r="H40" s="94"/>
    </row>
    <row r="41" spans="2:9" s="25" customFormat="1" ht="16.5" thickBot="1">
      <c r="B41" s="40">
        <f t="shared" si="0"/>
        <v>37</v>
      </c>
      <c r="C41" s="27" t="s">
        <v>2641</v>
      </c>
      <c r="D41" s="29" t="s">
        <v>280</v>
      </c>
      <c r="E41" s="27" t="s">
        <v>865</v>
      </c>
      <c r="F41" s="27" t="s">
        <v>866</v>
      </c>
      <c r="G41" s="26"/>
      <c r="H41" s="88" t="s">
        <v>2821</v>
      </c>
    </row>
    <row r="42" spans="2:9" s="25" customFormat="1" ht="16.5" thickBot="1">
      <c r="B42" s="40">
        <f t="shared" si="0"/>
        <v>38</v>
      </c>
      <c r="C42" s="27" t="s">
        <v>2641</v>
      </c>
      <c r="D42" s="29" t="s">
        <v>280</v>
      </c>
      <c r="E42" s="27" t="s">
        <v>865</v>
      </c>
      <c r="F42" s="27" t="s">
        <v>1728</v>
      </c>
      <c r="G42" s="26"/>
      <c r="H42" s="88" t="s">
        <v>3970</v>
      </c>
      <c r="I42" s="50" t="s">
        <v>2816</v>
      </c>
    </row>
    <row r="43" spans="2:9" s="25" customFormat="1" ht="16.5" thickBot="1">
      <c r="B43" s="40">
        <f t="shared" si="0"/>
        <v>39</v>
      </c>
      <c r="C43" s="27" t="s">
        <v>2641</v>
      </c>
      <c r="D43" s="29" t="s">
        <v>280</v>
      </c>
      <c r="E43" s="27" t="s">
        <v>865</v>
      </c>
      <c r="F43" s="27" t="s">
        <v>1333</v>
      </c>
      <c r="G43" s="27" t="s">
        <v>921</v>
      </c>
      <c r="H43" s="89" t="s">
        <v>2817</v>
      </c>
    </row>
    <row r="44" spans="2:9" s="25" customFormat="1" ht="16.5" thickBot="1">
      <c r="B44" s="40">
        <f t="shared" si="0"/>
        <v>40</v>
      </c>
      <c r="C44" s="27" t="s">
        <v>2641</v>
      </c>
      <c r="D44" s="29" t="s">
        <v>280</v>
      </c>
      <c r="E44" s="27" t="s">
        <v>865</v>
      </c>
      <c r="F44" s="27" t="s">
        <v>1333</v>
      </c>
      <c r="G44" s="27" t="s">
        <v>923</v>
      </c>
      <c r="H44" s="89" t="s">
        <v>2818</v>
      </c>
    </row>
    <row r="45" spans="2:9" s="25" customFormat="1" ht="16.5" thickBot="1">
      <c r="B45" s="40">
        <f t="shared" si="0"/>
        <v>41</v>
      </c>
      <c r="C45" s="27" t="s">
        <v>2641</v>
      </c>
      <c r="D45" s="29" t="s">
        <v>280</v>
      </c>
      <c r="E45" s="27" t="s">
        <v>865</v>
      </c>
      <c r="F45" s="27" t="s">
        <v>1333</v>
      </c>
      <c r="G45" s="49" t="s">
        <v>989</v>
      </c>
      <c r="H45" s="90" t="s">
        <v>2819</v>
      </c>
    </row>
    <row r="46" spans="2:9" s="25" customFormat="1" ht="16.5" thickBot="1">
      <c r="B46" s="40">
        <f t="shared" si="0"/>
        <v>42</v>
      </c>
      <c r="C46" s="27" t="s">
        <v>2641</v>
      </c>
      <c r="D46" s="29" t="s">
        <v>280</v>
      </c>
      <c r="E46" s="27" t="s">
        <v>865</v>
      </c>
      <c r="F46" s="27" t="s">
        <v>1333</v>
      </c>
      <c r="G46" s="49" t="s">
        <v>992</v>
      </c>
      <c r="H46" s="95" t="s">
        <v>2820</v>
      </c>
    </row>
    <row r="47" spans="2:9" s="25" customFormat="1" ht="9" customHeight="1" thickBot="1">
      <c r="B47" s="23">
        <f t="shared" si="0"/>
        <v>43</v>
      </c>
      <c r="C47" s="43"/>
      <c r="D47" s="43"/>
      <c r="E47" s="43"/>
      <c r="F47" s="43"/>
      <c r="G47" s="43"/>
      <c r="H47" s="96"/>
    </row>
    <row r="48" spans="2:9" s="25" customFormat="1" ht="9" customHeight="1" thickBot="1">
      <c r="B48" s="23">
        <f t="shared" si="0"/>
        <v>44</v>
      </c>
      <c r="C48" s="37"/>
      <c r="D48" s="37"/>
      <c r="E48" s="37"/>
      <c r="F48" s="37"/>
      <c r="G48" s="38"/>
      <c r="H48" s="94"/>
    </row>
    <row r="49" spans="2:9" s="25" customFormat="1" ht="16.5" thickBot="1">
      <c r="B49" s="40">
        <f t="shared" si="0"/>
        <v>45</v>
      </c>
      <c r="C49" s="27" t="s">
        <v>2641</v>
      </c>
      <c r="D49" s="29" t="s">
        <v>281</v>
      </c>
      <c r="E49" s="27" t="s">
        <v>865</v>
      </c>
      <c r="F49" s="27" t="s">
        <v>866</v>
      </c>
      <c r="G49" s="26"/>
      <c r="H49" s="88" t="s">
        <v>2822</v>
      </c>
    </row>
    <row r="50" spans="2:9" s="25" customFormat="1" ht="16.5" thickBot="1">
      <c r="B50" s="40">
        <f t="shared" si="0"/>
        <v>46</v>
      </c>
      <c r="C50" s="27" t="s">
        <v>2641</v>
      </c>
      <c r="D50" s="29" t="s">
        <v>281</v>
      </c>
      <c r="E50" s="27" t="s">
        <v>865</v>
      </c>
      <c r="F50" s="27" t="s">
        <v>1728</v>
      </c>
      <c r="G50" s="26"/>
      <c r="H50" s="88" t="s">
        <v>3971</v>
      </c>
      <c r="I50" s="50" t="s">
        <v>2832</v>
      </c>
    </row>
    <row r="51" spans="2:9" s="25" customFormat="1" ht="16.5" thickBot="1">
      <c r="B51" s="40">
        <f t="shared" si="0"/>
        <v>47</v>
      </c>
      <c r="C51" s="27" t="s">
        <v>2641</v>
      </c>
      <c r="D51" s="29" t="s">
        <v>281</v>
      </c>
      <c r="E51" s="27" t="s">
        <v>865</v>
      </c>
      <c r="F51" s="27" t="s">
        <v>1333</v>
      </c>
      <c r="G51" s="27" t="s">
        <v>921</v>
      </c>
      <c r="H51" s="89" t="s">
        <v>2823</v>
      </c>
    </row>
    <row r="52" spans="2:9" s="25" customFormat="1" ht="16.5" thickBot="1">
      <c r="B52" s="40">
        <f t="shared" si="0"/>
        <v>48</v>
      </c>
      <c r="C52" s="27" t="s">
        <v>2641</v>
      </c>
      <c r="D52" s="29" t="s">
        <v>281</v>
      </c>
      <c r="E52" s="27" t="s">
        <v>865</v>
      </c>
      <c r="F52" s="27" t="s">
        <v>1333</v>
      </c>
      <c r="G52" s="27" t="s">
        <v>923</v>
      </c>
      <c r="H52" s="89" t="s">
        <v>2823</v>
      </c>
    </row>
    <row r="53" spans="2:9" s="25" customFormat="1" ht="16.5" thickBot="1">
      <c r="B53" s="40">
        <f t="shared" si="0"/>
        <v>49</v>
      </c>
      <c r="C53" s="27" t="s">
        <v>2641</v>
      </c>
      <c r="D53" s="29" t="s">
        <v>281</v>
      </c>
      <c r="E53" s="27" t="s">
        <v>865</v>
      </c>
      <c r="F53" s="27" t="s">
        <v>1333</v>
      </c>
      <c r="G53" s="27" t="s">
        <v>989</v>
      </c>
      <c r="H53" s="89" t="s">
        <v>2824</v>
      </c>
    </row>
    <row r="54" spans="2:9" s="25" customFormat="1" ht="16.5" thickBot="1">
      <c r="B54" s="40">
        <f t="shared" si="0"/>
        <v>50</v>
      </c>
      <c r="C54" s="27" t="s">
        <v>2641</v>
      </c>
      <c r="D54" s="29" t="s">
        <v>281</v>
      </c>
      <c r="E54" s="27" t="s">
        <v>865</v>
      </c>
      <c r="F54" s="27" t="s">
        <v>1333</v>
      </c>
      <c r="G54" s="27" t="s">
        <v>992</v>
      </c>
      <c r="H54" s="89" t="s">
        <v>2825</v>
      </c>
    </row>
    <row r="55" spans="2:9" s="25" customFormat="1" ht="9" customHeight="1" thickBot="1">
      <c r="B55" s="23">
        <f t="shared" si="0"/>
        <v>51</v>
      </c>
      <c r="C55" s="43"/>
      <c r="D55" s="43"/>
      <c r="E55" s="43"/>
      <c r="F55" s="43"/>
      <c r="G55" s="43"/>
      <c r="H55" s="94"/>
    </row>
    <row r="56" spans="2:9" s="25" customFormat="1" ht="9" customHeight="1" thickBot="1">
      <c r="B56" s="23">
        <f t="shared" si="0"/>
        <v>52</v>
      </c>
      <c r="C56" s="37"/>
      <c r="D56" s="37"/>
      <c r="E56" s="37"/>
      <c r="F56" s="37"/>
      <c r="G56" s="38"/>
      <c r="H56" s="94"/>
    </row>
    <row r="57" spans="2:9" s="25" customFormat="1" ht="16.5" thickBot="1">
      <c r="B57" s="40">
        <f t="shared" si="0"/>
        <v>53</v>
      </c>
      <c r="C57" s="27" t="s">
        <v>2641</v>
      </c>
      <c r="D57" s="69" t="s">
        <v>181</v>
      </c>
      <c r="E57" s="27"/>
      <c r="F57" s="27" t="s">
        <v>866</v>
      </c>
      <c r="G57" s="26"/>
      <c r="H57" s="88"/>
    </row>
    <row r="58" spans="2:9" s="25" customFormat="1" ht="16.5" thickBot="1">
      <c r="B58" s="40">
        <f t="shared" si="0"/>
        <v>54</v>
      </c>
      <c r="C58" s="27" t="s">
        <v>2641</v>
      </c>
      <c r="D58" s="69" t="s">
        <v>181</v>
      </c>
      <c r="E58" s="27"/>
      <c r="F58" s="27" t="s">
        <v>1728</v>
      </c>
      <c r="G58" s="26"/>
      <c r="H58" s="88"/>
      <c r="I58" s="50"/>
    </row>
    <row r="59" spans="2:9" s="25" customFormat="1" ht="16.5" thickBot="1">
      <c r="B59" s="40">
        <f t="shared" si="0"/>
        <v>55</v>
      </c>
      <c r="C59" s="27" t="s">
        <v>2641</v>
      </c>
      <c r="D59" s="69" t="s">
        <v>181</v>
      </c>
      <c r="E59" s="27"/>
      <c r="F59" s="27" t="s">
        <v>1333</v>
      </c>
      <c r="G59" s="27"/>
      <c r="H59" s="89"/>
    </row>
    <row r="60" spans="2:9" s="25" customFormat="1" ht="16.5" thickBot="1">
      <c r="B60" s="40">
        <f t="shared" si="0"/>
        <v>56</v>
      </c>
      <c r="C60" s="27" t="s">
        <v>2641</v>
      </c>
      <c r="D60" s="69" t="s">
        <v>181</v>
      </c>
      <c r="E60" s="27"/>
      <c r="F60" s="27" t="s">
        <v>1333</v>
      </c>
      <c r="G60" s="27"/>
      <c r="H60" s="89"/>
    </row>
    <row r="61" spans="2:9" s="25" customFormat="1" ht="16.5" thickBot="1">
      <c r="B61" s="40">
        <f t="shared" si="0"/>
        <v>57</v>
      </c>
      <c r="C61" s="27" t="s">
        <v>2641</v>
      </c>
      <c r="D61" s="69" t="s">
        <v>181</v>
      </c>
      <c r="E61" s="27"/>
      <c r="F61" s="27" t="s">
        <v>1333</v>
      </c>
      <c r="G61" s="27"/>
      <c r="H61" s="89"/>
    </row>
    <row r="62" spans="2:9" s="25" customFormat="1" ht="16.5" thickBot="1">
      <c r="B62" s="40">
        <f t="shared" si="0"/>
        <v>58</v>
      </c>
      <c r="C62" s="27" t="s">
        <v>2641</v>
      </c>
      <c r="D62" s="69" t="s">
        <v>181</v>
      </c>
      <c r="E62" s="27"/>
      <c r="F62" s="27"/>
      <c r="G62" s="27"/>
      <c r="H62" s="89"/>
    </row>
    <row r="63" spans="2:9" s="25" customFormat="1" ht="9" customHeight="1" thickBot="1">
      <c r="B63" s="23">
        <f t="shared" si="0"/>
        <v>59</v>
      </c>
      <c r="C63" s="43"/>
      <c r="D63" s="43"/>
      <c r="E63" s="43"/>
      <c r="F63" s="43"/>
      <c r="G63" s="43"/>
      <c r="H63" s="94"/>
    </row>
    <row r="64" spans="2:9" s="25" customFormat="1" ht="9" customHeight="1" thickBot="1">
      <c r="B64" s="23">
        <f t="shared" si="0"/>
        <v>60</v>
      </c>
      <c r="C64" s="37"/>
      <c r="D64" s="37"/>
      <c r="E64" s="37"/>
      <c r="F64" s="37"/>
      <c r="G64" s="38"/>
      <c r="H64" s="94"/>
    </row>
    <row r="65" spans="2:9" s="25" customFormat="1" ht="16.5" thickBot="1">
      <c r="B65" s="40">
        <f t="shared" si="0"/>
        <v>61</v>
      </c>
      <c r="C65" s="27" t="s">
        <v>2641</v>
      </c>
      <c r="D65" s="29" t="s">
        <v>282</v>
      </c>
      <c r="E65" s="27" t="s">
        <v>865</v>
      </c>
      <c r="F65" s="27" t="s">
        <v>866</v>
      </c>
      <c r="G65" s="26"/>
      <c r="H65" s="88" t="s">
        <v>2831</v>
      </c>
    </row>
    <row r="66" spans="2:9" s="25" customFormat="1" ht="16.5" thickBot="1">
      <c r="B66" s="40">
        <f t="shared" si="0"/>
        <v>62</v>
      </c>
      <c r="C66" s="27" t="s">
        <v>2641</v>
      </c>
      <c r="D66" s="29" t="s">
        <v>282</v>
      </c>
      <c r="E66" s="27" t="s">
        <v>865</v>
      </c>
      <c r="F66" s="27" t="s">
        <v>1728</v>
      </c>
      <c r="G66" s="26"/>
      <c r="H66" s="88" t="s">
        <v>3972</v>
      </c>
      <c r="I66" s="50" t="s">
        <v>2826</v>
      </c>
    </row>
    <row r="67" spans="2:9" s="25" customFormat="1" ht="16.5" thickBot="1">
      <c r="B67" s="40">
        <f t="shared" si="0"/>
        <v>63</v>
      </c>
      <c r="C67" s="27" t="s">
        <v>2641</v>
      </c>
      <c r="D67" s="29" t="s">
        <v>282</v>
      </c>
      <c r="E67" s="27" t="s">
        <v>865</v>
      </c>
      <c r="F67" s="27" t="s">
        <v>1333</v>
      </c>
      <c r="G67" s="27" t="s">
        <v>921</v>
      </c>
      <c r="H67" s="89" t="s">
        <v>2827</v>
      </c>
    </row>
    <row r="68" spans="2:9" s="25" customFormat="1" ht="16.5" thickBot="1">
      <c r="B68" s="40">
        <f t="shared" si="0"/>
        <v>64</v>
      </c>
      <c r="C68" s="27" t="s">
        <v>2641</v>
      </c>
      <c r="D68" s="29" t="s">
        <v>282</v>
      </c>
      <c r="E68" s="27" t="s">
        <v>865</v>
      </c>
      <c r="F68" s="27" t="s">
        <v>1333</v>
      </c>
      <c r="G68" s="27" t="s">
        <v>923</v>
      </c>
      <c r="H68" s="89" t="s">
        <v>2828</v>
      </c>
    </row>
    <row r="69" spans="2:9" s="25" customFormat="1" ht="16.5" thickBot="1">
      <c r="B69" s="40">
        <f t="shared" si="0"/>
        <v>65</v>
      </c>
      <c r="C69" s="27" t="s">
        <v>2641</v>
      </c>
      <c r="D69" s="29" t="s">
        <v>282</v>
      </c>
      <c r="E69" s="27" t="s">
        <v>865</v>
      </c>
      <c r="F69" s="27" t="s">
        <v>1333</v>
      </c>
      <c r="G69" s="27" t="s">
        <v>989</v>
      </c>
      <c r="H69" s="89" t="s">
        <v>2829</v>
      </c>
    </row>
    <row r="70" spans="2:9" s="25" customFormat="1" ht="16.5" thickBot="1">
      <c r="B70" s="40">
        <f t="shared" si="0"/>
        <v>66</v>
      </c>
      <c r="C70" s="27" t="s">
        <v>2641</v>
      </c>
      <c r="D70" s="29" t="s">
        <v>282</v>
      </c>
      <c r="E70" s="27" t="s">
        <v>865</v>
      </c>
      <c r="F70" s="27" t="s">
        <v>1333</v>
      </c>
      <c r="G70" s="27" t="s">
        <v>992</v>
      </c>
      <c r="H70" s="89" t="s">
        <v>2830</v>
      </c>
    </row>
    <row r="71" spans="2:9" s="25" customFormat="1" ht="32.25" thickBot="1">
      <c r="B71" s="40">
        <f t="shared" si="0"/>
        <v>67</v>
      </c>
      <c r="C71" s="27" t="s">
        <v>2641</v>
      </c>
      <c r="D71" s="29" t="s">
        <v>282</v>
      </c>
      <c r="E71" s="27" t="s">
        <v>865</v>
      </c>
      <c r="F71" s="68"/>
      <c r="G71" s="27" t="s">
        <v>3662</v>
      </c>
      <c r="H71" s="89" t="s">
        <v>3663</v>
      </c>
    </row>
    <row r="72" spans="2:9" s="25" customFormat="1" ht="9" customHeight="1" thickBot="1">
      <c r="B72" s="23">
        <f t="shared" si="0"/>
        <v>68</v>
      </c>
      <c r="C72" s="43"/>
      <c r="D72" s="43"/>
      <c r="E72" s="43"/>
      <c r="F72" s="43"/>
      <c r="G72" s="43"/>
      <c r="H72" s="94"/>
    </row>
    <row r="73" spans="2:9" s="25" customFormat="1" ht="9" customHeight="1" thickBot="1">
      <c r="B73" s="23">
        <f t="shared" si="0"/>
        <v>69</v>
      </c>
      <c r="C73" s="37"/>
      <c r="D73" s="37"/>
      <c r="E73" s="37"/>
      <c r="F73" s="37"/>
      <c r="G73" s="38"/>
      <c r="H73" s="94"/>
    </row>
    <row r="74" spans="2:9" s="25" customFormat="1" ht="16.5" thickBot="1">
      <c r="B74" s="40">
        <f t="shared" si="0"/>
        <v>70</v>
      </c>
      <c r="C74" s="27" t="s">
        <v>2641</v>
      </c>
      <c r="D74" s="69" t="s">
        <v>179</v>
      </c>
      <c r="E74" s="27"/>
      <c r="F74" s="27" t="s">
        <v>866</v>
      </c>
      <c r="G74" s="26"/>
      <c r="H74" s="89"/>
    </row>
    <row r="75" spans="2:9" s="25" customFormat="1" ht="16.5" thickBot="1">
      <c r="B75" s="40">
        <f t="shared" ref="B75:B134" si="1">B74+1</f>
        <v>71</v>
      </c>
      <c r="C75" s="27" t="s">
        <v>2641</v>
      </c>
      <c r="D75" s="69" t="s">
        <v>179</v>
      </c>
      <c r="E75" s="27"/>
      <c r="F75" s="27" t="s">
        <v>1728</v>
      </c>
      <c r="G75" s="26"/>
      <c r="H75" s="88"/>
      <c r="I75" s="50"/>
    </row>
    <row r="76" spans="2:9" s="25" customFormat="1" ht="16.5" thickBot="1">
      <c r="B76" s="40">
        <f t="shared" si="1"/>
        <v>72</v>
      </c>
      <c r="C76" s="27" t="s">
        <v>2641</v>
      </c>
      <c r="D76" s="69" t="s">
        <v>179</v>
      </c>
      <c r="E76" s="27"/>
      <c r="F76" s="27" t="s">
        <v>1333</v>
      </c>
      <c r="G76" s="27"/>
      <c r="H76" s="89"/>
    </row>
    <row r="77" spans="2:9" s="25" customFormat="1" ht="16.5" thickBot="1">
      <c r="B77" s="40">
        <f t="shared" si="1"/>
        <v>73</v>
      </c>
      <c r="C77" s="27" t="s">
        <v>2641</v>
      </c>
      <c r="D77" s="69" t="s">
        <v>179</v>
      </c>
      <c r="E77" s="27"/>
      <c r="F77" s="27" t="s">
        <v>1333</v>
      </c>
      <c r="G77" s="27"/>
      <c r="H77" s="89"/>
    </row>
    <row r="78" spans="2:9" s="25" customFormat="1" ht="16.5" thickBot="1">
      <c r="B78" s="40">
        <f t="shared" si="1"/>
        <v>74</v>
      </c>
      <c r="C78" s="27" t="s">
        <v>2641</v>
      </c>
      <c r="D78" s="69" t="s">
        <v>179</v>
      </c>
      <c r="E78" s="27"/>
      <c r="F78" s="27" t="s">
        <v>1333</v>
      </c>
      <c r="G78" s="27"/>
      <c r="H78" s="89"/>
    </row>
    <row r="79" spans="2:9" s="25" customFormat="1" ht="16.5" thickBot="1">
      <c r="B79" s="40">
        <f t="shared" si="1"/>
        <v>75</v>
      </c>
      <c r="C79" s="27" t="s">
        <v>2641</v>
      </c>
      <c r="D79" s="69" t="s">
        <v>179</v>
      </c>
      <c r="E79" s="27"/>
      <c r="F79" s="27"/>
      <c r="G79" s="27"/>
      <c r="H79" s="89"/>
    </row>
    <row r="80" spans="2:9" s="25" customFormat="1" ht="9" customHeight="1" thickBot="1">
      <c r="B80" s="23">
        <f>B79+1</f>
        <v>76</v>
      </c>
      <c r="C80" s="43"/>
      <c r="D80" s="43"/>
      <c r="E80" s="43"/>
      <c r="F80" s="43"/>
      <c r="G80" s="43"/>
      <c r="H80" s="94"/>
    </row>
    <row r="81" spans="2:9" s="25" customFormat="1" ht="9" customHeight="1" thickBot="1">
      <c r="B81" s="23">
        <f t="shared" si="1"/>
        <v>77</v>
      </c>
      <c r="C81" s="37"/>
      <c r="D81" s="37"/>
      <c r="E81" s="37"/>
      <c r="F81" s="37"/>
      <c r="G81" s="38"/>
      <c r="H81" s="94"/>
    </row>
    <row r="82" spans="2:9" s="25" customFormat="1" ht="16.5" thickBot="1">
      <c r="B82" s="40">
        <f t="shared" si="1"/>
        <v>78</v>
      </c>
      <c r="C82" s="27" t="s">
        <v>2641</v>
      </c>
      <c r="D82" s="29" t="s">
        <v>283</v>
      </c>
      <c r="E82" s="27" t="s">
        <v>865</v>
      </c>
      <c r="F82" s="27" t="s">
        <v>866</v>
      </c>
      <c r="G82" s="26"/>
      <c r="H82" s="88" t="s">
        <v>2834</v>
      </c>
    </row>
    <row r="83" spans="2:9" s="25" customFormat="1" ht="16.5" thickBot="1">
      <c r="B83" s="40">
        <f t="shared" si="1"/>
        <v>79</v>
      </c>
      <c r="C83" s="27" t="s">
        <v>2641</v>
      </c>
      <c r="D83" s="29" t="s">
        <v>283</v>
      </c>
      <c r="E83" s="27" t="s">
        <v>865</v>
      </c>
      <c r="F83" s="27" t="s">
        <v>1728</v>
      </c>
      <c r="G83" s="26"/>
      <c r="H83" s="88" t="s">
        <v>3973</v>
      </c>
      <c r="I83" s="50" t="s">
        <v>2833</v>
      </c>
    </row>
    <row r="84" spans="2:9" s="25" customFormat="1" ht="32.25" thickBot="1">
      <c r="B84" s="40">
        <f t="shared" si="1"/>
        <v>80</v>
      </c>
      <c r="C84" s="27" t="s">
        <v>2641</v>
      </c>
      <c r="D84" s="29" t="s">
        <v>283</v>
      </c>
      <c r="E84" s="27" t="s">
        <v>865</v>
      </c>
      <c r="F84" s="27" t="s">
        <v>1333</v>
      </c>
      <c r="G84" s="27" t="s">
        <v>921</v>
      </c>
      <c r="H84" s="89" t="s">
        <v>3974</v>
      </c>
    </row>
    <row r="85" spans="2:9" s="25" customFormat="1" ht="16.5" thickBot="1">
      <c r="B85" s="40">
        <f t="shared" si="1"/>
        <v>81</v>
      </c>
      <c r="C85" s="27" t="s">
        <v>2641</v>
      </c>
      <c r="D85" s="29" t="s">
        <v>283</v>
      </c>
      <c r="E85" s="27" t="s">
        <v>865</v>
      </c>
      <c r="F85" s="27" t="s">
        <v>1333</v>
      </c>
      <c r="G85" s="27" t="s">
        <v>923</v>
      </c>
      <c r="H85" s="89" t="s">
        <v>3975</v>
      </c>
    </row>
    <row r="86" spans="2:9" s="25" customFormat="1" ht="32.25" thickBot="1">
      <c r="B86" s="40">
        <f t="shared" si="1"/>
        <v>82</v>
      </c>
      <c r="C86" s="27" t="s">
        <v>2641</v>
      </c>
      <c r="D86" s="29" t="s">
        <v>283</v>
      </c>
      <c r="E86" s="27" t="s">
        <v>865</v>
      </c>
      <c r="F86" s="27" t="s">
        <v>1333</v>
      </c>
      <c r="G86" s="27" t="s">
        <v>989</v>
      </c>
      <c r="H86" s="89" t="s">
        <v>3976</v>
      </c>
    </row>
    <row r="87" spans="2:9" s="25" customFormat="1" ht="16.5" thickBot="1">
      <c r="B87" s="40">
        <f t="shared" si="1"/>
        <v>83</v>
      </c>
      <c r="C87" s="27" t="s">
        <v>2641</v>
      </c>
      <c r="D87" s="29" t="s">
        <v>283</v>
      </c>
      <c r="E87" s="27" t="s">
        <v>865</v>
      </c>
      <c r="F87" s="27" t="s">
        <v>1333</v>
      </c>
      <c r="G87" s="27" t="s">
        <v>992</v>
      </c>
      <c r="H87" s="89" t="s">
        <v>3977</v>
      </c>
    </row>
    <row r="88" spans="2:9" s="25" customFormat="1" ht="9" customHeight="1" thickBot="1">
      <c r="B88" s="23">
        <f t="shared" si="1"/>
        <v>84</v>
      </c>
      <c r="C88" s="43"/>
      <c r="D88" s="43"/>
      <c r="E88" s="43"/>
      <c r="F88" s="43"/>
      <c r="G88" s="43"/>
      <c r="H88" s="94"/>
    </row>
    <row r="89" spans="2:9" s="25" customFormat="1" ht="9" customHeight="1" thickBot="1">
      <c r="B89" s="23">
        <f t="shared" si="1"/>
        <v>85</v>
      </c>
      <c r="C89" s="37"/>
      <c r="D89" s="37"/>
      <c r="E89" s="37"/>
      <c r="F89" s="37"/>
      <c r="G89" s="38"/>
      <c r="H89" s="94"/>
    </row>
    <row r="90" spans="2:9" s="25" customFormat="1" ht="16.5" thickBot="1">
      <c r="B90" s="40">
        <f t="shared" si="1"/>
        <v>86</v>
      </c>
      <c r="C90" s="27" t="s">
        <v>2641</v>
      </c>
      <c r="D90" s="29" t="s">
        <v>284</v>
      </c>
      <c r="E90" s="27" t="s">
        <v>865</v>
      </c>
      <c r="F90" s="27" t="s">
        <v>866</v>
      </c>
      <c r="G90" s="26"/>
      <c r="H90" s="88" t="s">
        <v>2839</v>
      </c>
    </row>
    <row r="91" spans="2:9" s="25" customFormat="1" ht="16.5" thickBot="1">
      <c r="B91" s="40">
        <f t="shared" si="1"/>
        <v>87</v>
      </c>
      <c r="C91" s="27" t="s">
        <v>2641</v>
      </c>
      <c r="D91" s="29" t="s">
        <v>284</v>
      </c>
      <c r="E91" s="27" t="s">
        <v>865</v>
      </c>
      <c r="F91" s="27" t="s">
        <v>1728</v>
      </c>
      <c r="G91" s="26"/>
      <c r="H91" s="88" t="s">
        <v>3978</v>
      </c>
      <c r="I91" s="50" t="s">
        <v>2833</v>
      </c>
    </row>
    <row r="92" spans="2:9" s="25" customFormat="1" ht="16.5" thickBot="1">
      <c r="B92" s="40">
        <f t="shared" si="1"/>
        <v>88</v>
      </c>
      <c r="C92" s="27" t="s">
        <v>2641</v>
      </c>
      <c r="D92" s="29" t="s">
        <v>284</v>
      </c>
      <c r="E92" s="27" t="s">
        <v>865</v>
      </c>
      <c r="F92" s="27" t="s">
        <v>1333</v>
      </c>
      <c r="G92" s="27" t="s">
        <v>921</v>
      </c>
      <c r="H92" s="89" t="s">
        <v>2835</v>
      </c>
    </row>
    <row r="93" spans="2:9" s="25" customFormat="1" ht="16.5" thickBot="1">
      <c r="B93" s="40">
        <f t="shared" si="1"/>
        <v>89</v>
      </c>
      <c r="C93" s="27" t="s">
        <v>2641</v>
      </c>
      <c r="D93" s="29" t="s">
        <v>284</v>
      </c>
      <c r="E93" s="27" t="s">
        <v>865</v>
      </c>
      <c r="F93" s="27" t="s">
        <v>1333</v>
      </c>
      <c r="G93" s="27" t="s">
        <v>923</v>
      </c>
      <c r="H93" s="89" t="s">
        <v>2836</v>
      </c>
    </row>
    <row r="94" spans="2:9" s="25" customFormat="1" ht="32.25" thickBot="1">
      <c r="B94" s="40">
        <f t="shared" si="1"/>
        <v>90</v>
      </c>
      <c r="C94" s="27" t="s">
        <v>2641</v>
      </c>
      <c r="D94" s="29" t="s">
        <v>284</v>
      </c>
      <c r="E94" s="27" t="s">
        <v>865</v>
      </c>
      <c r="F94" s="27" t="s">
        <v>1333</v>
      </c>
      <c r="G94" s="27" t="s">
        <v>989</v>
      </c>
      <c r="H94" s="89" t="s">
        <v>2837</v>
      </c>
    </row>
    <row r="95" spans="2:9" s="25" customFormat="1" ht="16.5" thickBot="1">
      <c r="B95" s="40">
        <f t="shared" si="1"/>
        <v>91</v>
      </c>
      <c r="C95" s="27" t="s">
        <v>2641</v>
      </c>
      <c r="D95" s="29" t="s">
        <v>284</v>
      </c>
      <c r="E95" s="27" t="s">
        <v>865</v>
      </c>
      <c r="F95" s="27" t="s">
        <v>1333</v>
      </c>
      <c r="G95" s="27" t="s">
        <v>992</v>
      </c>
      <c r="H95" s="89" t="s">
        <v>2838</v>
      </c>
    </row>
    <row r="96" spans="2:9" s="25" customFormat="1" ht="9" customHeight="1" thickBot="1">
      <c r="B96" s="23">
        <f t="shared" si="1"/>
        <v>92</v>
      </c>
      <c r="C96" s="43"/>
      <c r="D96" s="43"/>
      <c r="E96" s="43"/>
      <c r="F96" s="43"/>
      <c r="G96" s="43"/>
      <c r="H96" s="94"/>
    </row>
    <row r="97" spans="2:9" s="25" customFormat="1" ht="9" customHeight="1" thickBot="1">
      <c r="B97" s="23">
        <f t="shared" si="1"/>
        <v>93</v>
      </c>
      <c r="C97" s="37"/>
      <c r="D97" s="37"/>
      <c r="E97" s="37"/>
      <c r="F97" s="37"/>
      <c r="G97" s="38"/>
      <c r="H97" s="94"/>
    </row>
    <row r="98" spans="2:9" s="25" customFormat="1" ht="16.5" thickBot="1">
      <c r="B98" s="40">
        <f t="shared" si="1"/>
        <v>94</v>
      </c>
      <c r="C98" s="27" t="s">
        <v>2641</v>
      </c>
      <c r="D98" s="29" t="s">
        <v>285</v>
      </c>
      <c r="E98" s="27" t="s">
        <v>865</v>
      </c>
      <c r="F98" s="27" t="s">
        <v>866</v>
      </c>
      <c r="G98" s="26"/>
      <c r="H98" s="88" t="s">
        <v>2840</v>
      </c>
    </row>
    <row r="99" spans="2:9" s="25" customFormat="1" ht="16.5" thickBot="1">
      <c r="B99" s="40">
        <f t="shared" si="1"/>
        <v>95</v>
      </c>
      <c r="C99" s="27" t="s">
        <v>2641</v>
      </c>
      <c r="D99" s="29" t="s">
        <v>285</v>
      </c>
      <c r="E99" s="27" t="s">
        <v>865</v>
      </c>
      <c r="F99" s="27" t="s">
        <v>1728</v>
      </c>
      <c r="G99" s="26"/>
      <c r="H99" s="88" t="s">
        <v>3979</v>
      </c>
      <c r="I99" s="50" t="s">
        <v>2842</v>
      </c>
    </row>
    <row r="100" spans="2:9" s="25" customFormat="1" ht="32.25" thickBot="1">
      <c r="B100" s="40">
        <f t="shared" si="1"/>
        <v>96</v>
      </c>
      <c r="C100" s="27" t="s">
        <v>2641</v>
      </c>
      <c r="D100" s="29" t="s">
        <v>285</v>
      </c>
      <c r="E100" s="27" t="s">
        <v>865</v>
      </c>
      <c r="F100" s="27" t="s">
        <v>1333</v>
      </c>
      <c r="G100" s="27" t="s">
        <v>921</v>
      </c>
      <c r="H100" s="89" t="s">
        <v>3980</v>
      </c>
    </row>
    <row r="101" spans="2:9" s="25" customFormat="1" ht="32.25" thickBot="1">
      <c r="B101" s="40">
        <f t="shared" si="1"/>
        <v>97</v>
      </c>
      <c r="C101" s="27" t="s">
        <v>2641</v>
      </c>
      <c r="D101" s="29" t="s">
        <v>285</v>
      </c>
      <c r="E101" s="27" t="s">
        <v>865</v>
      </c>
      <c r="F101" s="27" t="s">
        <v>1333</v>
      </c>
      <c r="G101" s="27" t="s">
        <v>923</v>
      </c>
      <c r="H101" s="89" t="s">
        <v>2841</v>
      </c>
    </row>
    <row r="102" spans="2:9" s="25" customFormat="1" ht="32.25" thickBot="1">
      <c r="B102" s="40">
        <f t="shared" si="1"/>
        <v>98</v>
      </c>
      <c r="C102" s="27" t="s">
        <v>2641</v>
      </c>
      <c r="D102" s="29" t="s">
        <v>285</v>
      </c>
      <c r="E102" s="27" t="s">
        <v>865</v>
      </c>
      <c r="F102" s="27" t="s">
        <v>1333</v>
      </c>
      <c r="G102" s="27" t="s">
        <v>989</v>
      </c>
      <c r="H102" s="89" t="s">
        <v>3981</v>
      </c>
    </row>
    <row r="103" spans="2:9" s="25" customFormat="1" ht="32.25" thickBot="1">
      <c r="B103" s="40">
        <f t="shared" si="1"/>
        <v>99</v>
      </c>
      <c r="C103" s="27" t="s">
        <v>2641</v>
      </c>
      <c r="D103" s="29" t="s">
        <v>285</v>
      </c>
      <c r="E103" s="27" t="s">
        <v>865</v>
      </c>
      <c r="F103" s="27" t="s">
        <v>1333</v>
      </c>
      <c r="G103" s="27" t="s">
        <v>992</v>
      </c>
      <c r="H103" s="89" t="s">
        <v>3980</v>
      </c>
    </row>
    <row r="104" spans="2:9" s="25" customFormat="1" ht="9" customHeight="1" thickBot="1">
      <c r="B104" s="23">
        <f t="shared" si="1"/>
        <v>100</v>
      </c>
      <c r="C104" s="43"/>
      <c r="D104" s="43"/>
      <c r="E104" s="43"/>
      <c r="F104" s="43"/>
      <c r="G104" s="43"/>
      <c r="H104" s="94"/>
    </row>
    <row r="105" spans="2:9" s="25" customFormat="1" ht="9" customHeight="1" thickBot="1">
      <c r="B105" s="23">
        <f t="shared" si="1"/>
        <v>101</v>
      </c>
      <c r="C105" s="37"/>
      <c r="D105" s="37"/>
      <c r="E105" s="37"/>
      <c r="F105" s="37"/>
      <c r="G105" s="38"/>
      <c r="H105" s="94"/>
    </row>
    <row r="106" spans="2:9" s="25" customFormat="1" ht="16.5" thickBot="1">
      <c r="B106" s="40">
        <f t="shared" si="1"/>
        <v>102</v>
      </c>
      <c r="C106" s="27" t="s">
        <v>2641</v>
      </c>
      <c r="D106" s="29" t="s">
        <v>286</v>
      </c>
      <c r="E106" s="27" t="s">
        <v>865</v>
      </c>
      <c r="F106" s="27" t="s">
        <v>866</v>
      </c>
      <c r="G106" s="26"/>
      <c r="H106" s="88" t="s">
        <v>2844</v>
      </c>
    </row>
    <row r="107" spans="2:9" s="25" customFormat="1" ht="32.25" thickBot="1">
      <c r="B107" s="40">
        <f t="shared" si="1"/>
        <v>103</v>
      </c>
      <c r="C107" s="27" t="s">
        <v>2641</v>
      </c>
      <c r="D107" s="29" t="s">
        <v>286</v>
      </c>
      <c r="E107" s="27" t="s">
        <v>865</v>
      </c>
      <c r="F107" s="27" t="s">
        <v>1728</v>
      </c>
      <c r="G107" s="26"/>
      <c r="H107" s="89" t="s">
        <v>3982</v>
      </c>
      <c r="I107" s="50" t="s">
        <v>2843</v>
      </c>
    </row>
    <row r="108" spans="2:9" s="25" customFormat="1" ht="16.5" thickBot="1">
      <c r="B108" s="40">
        <f t="shared" si="1"/>
        <v>104</v>
      </c>
      <c r="C108" s="27" t="s">
        <v>2641</v>
      </c>
      <c r="D108" s="29" t="s">
        <v>286</v>
      </c>
      <c r="E108" s="27" t="s">
        <v>865</v>
      </c>
      <c r="F108" s="27" t="s">
        <v>1333</v>
      </c>
      <c r="G108" s="27" t="s">
        <v>921</v>
      </c>
      <c r="H108" s="89" t="s">
        <v>2845</v>
      </c>
    </row>
    <row r="109" spans="2:9" s="25" customFormat="1" ht="16.5" thickBot="1">
      <c r="B109" s="40">
        <f t="shared" si="1"/>
        <v>105</v>
      </c>
      <c r="C109" s="27" t="s">
        <v>2641</v>
      </c>
      <c r="D109" s="29" t="s">
        <v>286</v>
      </c>
      <c r="E109" s="27" t="s">
        <v>865</v>
      </c>
      <c r="F109" s="27" t="s">
        <v>1333</v>
      </c>
      <c r="G109" s="27" t="s">
        <v>923</v>
      </c>
      <c r="H109" s="89" t="s">
        <v>2845</v>
      </c>
    </row>
    <row r="110" spans="2:9" s="25" customFormat="1" ht="16.5" thickBot="1">
      <c r="B110" s="40">
        <f t="shared" si="1"/>
        <v>106</v>
      </c>
      <c r="C110" s="27" t="s">
        <v>2641</v>
      </c>
      <c r="D110" s="29" t="s">
        <v>286</v>
      </c>
      <c r="E110" s="27" t="s">
        <v>865</v>
      </c>
      <c r="F110" s="27" t="s">
        <v>1333</v>
      </c>
      <c r="G110" s="27" t="s">
        <v>989</v>
      </c>
      <c r="H110" s="89" t="s">
        <v>2845</v>
      </c>
    </row>
    <row r="111" spans="2:9" s="25" customFormat="1" ht="16.5" thickBot="1">
      <c r="B111" s="40">
        <f t="shared" si="1"/>
        <v>107</v>
      </c>
      <c r="C111" s="27" t="s">
        <v>2641</v>
      </c>
      <c r="D111" s="29" t="s">
        <v>286</v>
      </c>
      <c r="E111" s="27" t="s">
        <v>865</v>
      </c>
      <c r="F111" s="27" t="s">
        <v>1333</v>
      </c>
      <c r="G111" s="27" t="s">
        <v>992</v>
      </c>
      <c r="H111" s="89" t="s">
        <v>2845</v>
      </c>
    </row>
    <row r="112" spans="2:9" s="25" customFormat="1" ht="9" customHeight="1" thickBot="1">
      <c r="B112" s="23">
        <f t="shared" si="1"/>
        <v>108</v>
      </c>
      <c r="C112" s="43"/>
      <c r="D112" s="43"/>
      <c r="E112" s="43"/>
      <c r="F112" s="43"/>
      <c r="G112" s="43"/>
      <c r="H112" s="94"/>
    </row>
    <row r="113" spans="2:9" s="25" customFormat="1" ht="9" customHeight="1" thickBot="1">
      <c r="B113" s="23">
        <f t="shared" si="1"/>
        <v>109</v>
      </c>
      <c r="C113" s="37"/>
      <c r="D113" s="37"/>
      <c r="E113" s="37"/>
      <c r="F113" s="37"/>
      <c r="G113" s="38"/>
      <c r="H113" s="94"/>
    </row>
    <row r="114" spans="2:9" s="25" customFormat="1" ht="16.5" thickBot="1">
      <c r="B114" s="40">
        <f t="shared" si="1"/>
        <v>110</v>
      </c>
      <c r="C114" s="27" t="s">
        <v>2641</v>
      </c>
      <c r="D114" s="29" t="s">
        <v>287</v>
      </c>
      <c r="E114" s="27" t="s">
        <v>865</v>
      </c>
      <c r="F114" s="27" t="s">
        <v>866</v>
      </c>
      <c r="G114" s="26"/>
      <c r="H114" s="88" t="s">
        <v>2847</v>
      </c>
    </row>
    <row r="115" spans="2:9" s="25" customFormat="1" ht="16.5" thickBot="1">
      <c r="B115" s="40">
        <f t="shared" si="1"/>
        <v>111</v>
      </c>
      <c r="C115" s="27" t="s">
        <v>2641</v>
      </c>
      <c r="D115" s="29" t="s">
        <v>287</v>
      </c>
      <c r="E115" s="27" t="s">
        <v>865</v>
      </c>
      <c r="F115" s="27" t="s">
        <v>1728</v>
      </c>
      <c r="G115" s="26"/>
      <c r="H115" s="88" t="s">
        <v>3983</v>
      </c>
      <c r="I115" s="50" t="s">
        <v>2846</v>
      </c>
    </row>
    <row r="116" spans="2:9" s="25" customFormat="1" ht="16.5" thickBot="1">
      <c r="B116" s="40">
        <f t="shared" si="1"/>
        <v>112</v>
      </c>
      <c r="C116" s="27" t="s">
        <v>2641</v>
      </c>
      <c r="D116" s="29" t="s">
        <v>287</v>
      </c>
      <c r="E116" s="27" t="s">
        <v>865</v>
      </c>
      <c r="F116" s="27" t="s">
        <v>1333</v>
      </c>
      <c r="G116" s="27" t="s">
        <v>921</v>
      </c>
      <c r="H116" s="89" t="s">
        <v>2848</v>
      </c>
    </row>
    <row r="117" spans="2:9" s="25" customFormat="1" ht="16.5" thickBot="1">
      <c r="B117" s="40">
        <f t="shared" si="1"/>
        <v>113</v>
      </c>
      <c r="C117" s="27" t="s">
        <v>2641</v>
      </c>
      <c r="D117" s="29" t="s">
        <v>287</v>
      </c>
      <c r="E117" s="27" t="s">
        <v>865</v>
      </c>
      <c r="F117" s="27" t="s">
        <v>1333</v>
      </c>
      <c r="G117" s="27" t="s">
        <v>989</v>
      </c>
      <c r="H117" s="89" t="s">
        <v>2849</v>
      </c>
    </row>
    <row r="118" spans="2:9" s="25" customFormat="1" ht="16.5" thickBot="1">
      <c r="B118" s="40">
        <f t="shared" si="1"/>
        <v>114</v>
      </c>
      <c r="C118" s="27" t="s">
        <v>2641</v>
      </c>
      <c r="D118" s="29" t="s">
        <v>287</v>
      </c>
      <c r="E118" s="27" t="s">
        <v>865</v>
      </c>
      <c r="F118" s="27" t="s">
        <v>1333</v>
      </c>
      <c r="G118" s="27" t="s">
        <v>992</v>
      </c>
      <c r="H118" s="89" t="s">
        <v>2849</v>
      </c>
    </row>
    <row r="119" spans="2:9" s="25" customFormat="1" ht="9" customHeight="1" thickBot="1">
      <c r="B119" s="23">
        <f t="shared" si="1"/>
        <v>115</v>
      </c>
      <c r="C119" s="43"/>
      <c r="D119" s="43"/>
      <c r="E119" s="43"/>
      <c r="F119" s="43"/>
      <c r="G119" s="43"/>
      <c r="H119" s="94"/>
    </row>
    <row r="120" spans="2:9" s="25" customFormat="1" ht="9" customHeight="1" thickBot="1">
      <c r="B120" s="23">
        <f t="shared" si="1"/>
        <v>116</v>
      </c>
      <c r="C120" s="37"/>
      <c r="D120" s="37"/>
      <c r="E120" s="37"/>
      <c r="F120" s="37"/>
      <c r="G120" s="38"/>
      <c r="H120" s="94"/>
    </row>
    <row r="121" spans="2:9" s="25" customFormat="1" ht="16.5" thickBot="1">
      <c r="B121" s="40">
        <f t="shared" si="1"/>
        <v>117</v>
      </c>
      <c r="C121" s="27" t="s">
        <v>2641</v>
      </c>
      <c r="D121" s="29" t="s">
        <v>288</v>
      </c>
      <c r="E121" s="27" t="s">
        <v>865</v>
      </c>
      <c r="F121" s="27" t="s">
        <v>866</v>
      </c>
      <c r="G121" s="26"/>
      <c r="H121" s="88" t="s">
        <v>2851</v>
      </c>
    </row>
    <row r="122" spans="2:9" s="25" customFormat="1" ht="32.25" thickBot="1">
      <c r="B122" s="40">
        <f t="shared" si="1"/>
        <v>118</v>
      </c>
      <c r="C122" s="27" t="s">
        <v>2641</v>
      </c>
      <c r="D122" s="29" t="s">
        <v>288</v>
      </c>
      <c r="E122" s="27" t="s">
        <v>865</v>
      </c>
      <c r="F122" s="27" t="s">
        <v>1728</v>
      </c>
      <c r="G122" s="26"/>
      <c r="H122" s="89" t="s">
        <v>3984</v>
      </c>
      <c r="I122" s="50" t="s">
        <v>2850</v>
      </c>
    </row>
    <row r="123" spans="2:9" s="25" customFormat="1" ht="16.5" thickBot="1">
      <c r="B123" s="40">
        <f t="shared" si="1"/>
        <v>119</v>
      </c>
      <c r="C123" s="27" t="s">
        <v>2641</v>
      </c>
      <c r="D123" s="29" t="s">
        <v>288</v>
      </c>
      <c r="E123" s="27" t="s">
        <v>865</v>
      </c>
      <c r="F123" s="27" t="s">
        <v>1333</v>
      </c>
      <c r="G123" s="27" t="s">
        <v>870</v>
      </c>
      <c r="H123" s="89" t="s">
        <v>2852</v>
      </c>
    </row>
    <row r="124" spans="2:9" s="25" customFormat="1" ht="16.5" thickBot="1">
      <c r="B124" s="40">
        <f t="shared" si="1"/>
        <v>120</v>
      </c>
      <c r="C124" s="27" t="s">
        <v>2641</v>
      </c>
      <c r="D124" s="29" t="s">
        <v>288</v>
      </c>
      <c r="E124" s="27" t="s">
        <v>865</v>
      </c>
      <c r="F124" s="27" t="s">
        <v>1333</v>
      </c>
      <c r="G124" s="27" t="s">
        <v>923</v>
      </c>
      <c r="H124" s="89" t="s">
        <v>2852</v>
      </c>
    </row>
    <row r="125" spans="2:9" s="25" customFormat="1" ht="16.5" thickBot="1">
      <c r="B125" s="40">
        <f t="shared" si="1"/>
        <v>121</v>
      </c>
      <c r="C125" s="27" t="s">
        <v>2641</v>
      </c>
      <c r="D125" s="29" t="s">
        <v>288</v>
      </c>
      <c r="E125" s="27" t="s">
        <v>865</v>
      </c>
      <c r="F125" s="27" t="s">
        <v>1333</v>
      </c>
      <c r="G125" s="27" t="s">
        <v>992</v>
      </c>
      <c r="H125" s="89" t="s">
        <v>2852</v>
      </c>
    </row>
    <row r="126" spans="2:9" s="25" customFormat="1" ht="9" customHeight="1" thickBot="1">
      <c r="B126" s="23">
        <f t="shared" si="1"/>
        <v>122</v>
      </c>
      <c r="C126" s="43"/>
      <c r="D126" s="43"/>
      <c r="E126" s="43"/>
      <c r="F126" s="43"/>
      <c r="G126" s="43"/>
      <c r="H126" s="94"/>
    </row>
    <row r="127" spans="2:9" s="25" customFormat="1" ht="9" customHeight="1" thickBot="1">
      <c r="B127" s="23">
        <f t="shared" si="1"/>
        <v>123</v>
      </c>
      <c r="C127" s="37"/>
      <c r="D127" s="37"/>
      <c r="E127" s="37"/>
      <c r="F127" s="37"/>
      <c r="G127" s="38"/>
      <c r="H127" s="94"/>
    </row>
    <row r="128" spans="2:9" s="25" customFormat="1" ht="16.5" thickBot="1">
      <c r="B128" s="40">
        <f t="shared" si="1"/>
        <v>124</v>
      </c>
      <c r="C128" s="27" t="s">
        <v>2641</v>
      </c>
      <c r="D128" s="29" t="s">
        <v>289</v>
      </c>
      <c r="E128" s="27" t="s">
        <v>865</v>
      </c>
      <c r="F128" s="27" t="s">
        <v>866</v>
      </c>
      <c r="G128" s="26"/>
      <c r="H128" s="88" t="s">
        <v>2854</v>
      </c>
    </row>
    <row r="129" spans="2:9" s="25" customFormat="1" ht="32.25" thickBot="1">
      <c r="B129" s="40">
        <f t="shared" si="1"/>
        <v>125</v>
      </c>
      <c r="C129" s="27" t="s">
        <v>2641</v>
      </c>
      <c r="D129" s="29" t="s">
        <v>289</v>
      </c>
      <c r="E129" s="27" t="s">
        <v>865</v>
      </c>
      <c r="F129" s="27" t="s">
        <v>1728</v>
      </c>
      <c r="G129" s="26"/>
      <c r="H129" s="89" t="s">
        <v>3985</v>
      </c>
      <c r="I129" s="50" t="s">
        <v>2853</v>
      </c>
    </row>
    <row r="130" spans="2:9" s="25" customFormat="1" ht="16.5" thickBot="1">
      <c r="B130" s="40">
        <f t="shared" si="1"/>
        <v>126</v>
      </c>
      <c r="C130" s="27" t="s">
        <v>2641</v>
      </c>
      <c r="D130" s="29" t="s">
        <v>289</v>
      </c>
      <c r="E130" s="27" t="s">
        <v>865</v>
      </c>
      <c r="F130" s="27" t="s">
        <v>1333</v>
      </c>
      <c r="G130" s="27" t="s">
        <v>870</v>
      </c>
      <c r="H130" s="89" t="s">
        <v>2855</v>
      </c>
    </row>
    <row r="131" spans="2:9" s="25" customFormat="1" ht="16.5" thickBot="1">
      <c r="B131" s="40">
        <f t="shared" si="1"/>
        <v>127</v>
      </c>
      <c r="C131" s="27" t="s">
        <v>2641</v>
      </c>
      <c r="D131" s="29" t="s">
        <v>289</v>
      </c>
      <c r="E131" s="27" t="s">
        <v>865</v>
      </c>
      <c r="F131" s="27" t="s">
        <v>1333</v>
      </c>
      <c r="G131" s="27" t="s">
        <v>874</v>
      </c>
      <c r="H131" s="89" t="s">
        <v>2855</v>
      </c>
    </row>
    <row r="132" spans="2:9" s="25" customFormat="1" ht="9" customHeight="1" thickBot="1">
      <c r="B132" s="23">
        <f t="shared" si="1"/>
        <v>128</v>
      </c>
      <c r="C132" s="43"/>
      <c r="D132" s="43"/>
      <c r="E132" s="43"/>
      <c r="F132" s="43"/>
      <c r="G132" s="43"/>
      <c r="H132" s="94"/>
    </row>
    <row r="133" spans="2:9" s="25" customFormat="1" ht="9" customHeight="1" thickBot="1">
      <c r="B133" s="23">
        <f t="shared" si="1"/>
        <v>129</v>
      </c>
      <c r="C133" s="37"/>
      <c r="D133" s="37"/>
      <c r="E133" s="37"/>
      <c r="F133" s="37"/>
      <c r="G133" s="38"/>
      <c r="H133" s="94"/>
    </row>
    <row r="134" spans="2:9" s="25" customFormat="1" ht="16.5" thickBot="1">
      <c r="B134" s="40">
        <f t="shared" si="1"/>
        <v>130</v>
      </c>
      <c r="C134" s="27" t="s">
        <v>2641</v>
      </c>
      <c r="D134" s="29" t="s">
        <v>290</v>
      </c>
      <c r="E134" s="27" t="s">
        <v>865</v>
      </c>
      <c r="F134" s="27" t="s">
        <v>866</v>
      </c>
      <c r="G134" s="26"/>
      <c r="H134" s="88" t="s">
        <v>3986</v>
      </c>
    </row>
    <row r="135" spans="2:9" s="25" customFormat="1" ht="16.5" thickBot="1">
      <c r="B135" s="40">
        <f t="shared" ref="B135:B157" si="2">B134+1</f>
        <v>131</v>
      </c>
      <c r="C135" s="27" t="s">
        <v>2641</v>
      </c>
      <c r="D135" s="29" t="s">
        <v>290</v>
      </c>
      <c r="E135" s="27" t="s">
        <v>865</v>
      </c>
      <c r="F135" s="27" t="s">
        <v>1728</v>
      </c>
      <c r="G135" s="26"/>
      <c r="H135" s="88" t="s">
        <v>3987</v>
      </c>
      <c r="I135" s="50" t="s">
        <v>2856</v>
      </c>
    </row>
    <row r="136" spans="2:9" s="25" customFormat="1" ht="16.5" thickBot="1">
      <c r="B136" s="40">
        <f t="shared" si="2"/>
        <v>132</v>
      </c>
      <c r="C136" s="27" t="s">
        <v>2641</v>
      </c>
      <c r="D136" s="29" t="s">
        <v>290</v>
      </c>
      <c r="E136" s="27" t="s">
        <v>865</v>
      </c>
      <c r="F136" s="27" t="s">
        <v>1333</v>
      </c>
      <c r="G136" s="27" t="s">
        <v>921</v>
      </c>
      <c r="H136" s="89" t="s">
        <v>2862</v>
      </c>
    </row>
    <row r="137" spans="2:9" s="25" customFormat="1" ht="16.5" thickBot="1">
      <c r="B137" s="40">
        <f t="shared" si="2"/>
        <v>133</v>
      </c>
      <c r="C137" s="27" t="s">
        <v>2641</v>
      </c>
      <c r="D137" s="29" t="s">
        <v>290</v>
      </c>
      <c r="E137" s="27" t="s">
        <v>865</v>
      </c>
      <c r="F137" s="27" t="s">
        <v>1333</v>
      </c>
      <c r="G137" s="27" t="s">
        <v>923</v>
      </c>
      <c r="H137" s="89" t="s">
        <v>2862</v>
      </c>
    </row>
    <row r="138" spans="2:9" s="25" customFormat="1" ht="16.5" thickBot="1">
      <c r="B138" s="40">
        <f t="shared" si="2"/>
        <v>134</v>
      </c>
      <c r="C138" s="27" t="s">
        <v>2641</v>
      </c>
      <c r="D138" s="29" t="s">
        <v>290</v>
      </c>
      <c r="E138" s="27" t="s">
        <v>865</v>
      </c>
      <c r="F138" s="27" t="s">
        <v>1333</v>
      </c>
      <c r="G138" s="49" t="s">
        <v>989</v>
      </c>
      <c r="H138" s="89" t="s">
        <v>2862</v>
      </c>
    </row>
    <row r="139" spans="2:9" s="25" customFormat="1" ht="16.5" thickBot="1">
      <c r="B139" s="40">
        <f t="shared" si="2"/>
        <v>135</v>
      </c>
      <c r="C139" s="27" t="s">
        <v>2641</v>
      </c>
      <c r="D139" s="29" t="s">
        <v>290</v>
      </c>
      <c r="E139" s="27" t="s">
        <v>865</v>
      </c>
      <c r="F139" s="27" t="s">
        <v>1333</v>
      </c>
      <c r="G139" s="49" t="s">
        <v>992</v>
      </c>
      <c r="H139" s="89" t="s">
        <v>2862</v>
      </c>
    </row>
    <row r="140" spans="2:9" s="25" customFormat="1" ht="9" customHeight="1" thickBot="1">
      <c r="B140" s="23">
        <f t="shared" si="2"/>
        <v>136</v>
      </c>
      <c r="C140" s="43"/>
      <c r="D140" s="43"/>
      <c r="E140" s="43"/>
      <c r="F140" s="43"/>
      <c r="G140" s="43"/>
      <c r="H140" s="94"/>
    </row>
    <row r="141" spans="2:9" s="25" customFormat="1" ht="9" customHeight="1" thickBot="1">
      <c r="B141" s="23">
        <f t="shared" si="2"/>
        <v>137</v>
      </c>
      <c r="C141" s="37"/>
      <c r="D141" s="37"/>
      <c r="E141" s="37"/>
      <c r="F141" s="37"/>
      <c r="G141" s="38"/>
      <c r="H141" s="94"/>
    </row>
    <row r="142" spans="2:9" s="25" customFormat="1" ht="16.5" thickBot="1">
      <c r="B142" s="40">
        <f t="shared" si="2"/>
        <v>138</v>
      </c>
      <c r="C142" s="27" t="s">
        <v>2641</v>
      </c>
      <c r="D142" s="29" t="s">
        <v>291</v>
      </c>
      <c r="E142" s="27" t="s">
        <v>865</v>
      </c>
      <c r="F142" s="27" t="s">
        <v>866</v>
      </c>
      <c r="G142" s="26"/>
      <c r="H142" s="88" t="s">
        <v>2858</v>
      </c>
    </row>
    <row r="143" spans="2:9" s="25" customFormat="1" ht="16.5" thickBot="1">
      <c r="B143" s="40">
        <f t="shared" si="2"/>
        <v>139</v>
      </c>
      <c r="C143" s="27" t="s">
        <v>2641</v>
      </c>
      <c r="D143" s="29" t="s">
        <v>291</v>
      </c>
      <c r="E143" s="27" t="s">
        <v>865</v>
      </c>
      <c r="F143" s="27" t="s">
        <v>1728</v>
      </c>
      <c r="G143" s="26"/>
      <c r="H143" s="88" t="s">
        <v>3988</v>
      </c>
      <c r="I143" s="50" t="s">
        <v>2857</v>
      </c>
    </row>
    <row r="144" spans="2:9" s="25" customFormat="1" ht="16.5" thickBot="1">
      <c r="B144" s="40">
        <f t="shared" si="2"/>
        <v>140</v>
      </c>
      <c r="C144" s="27" t="s">
        <v>2641</v>
      </c>
      <c r="D144" s="29" t="s">
        <v>291</v>
      </c>
      <c r="E144" s="27" t="s">
        <v>865</v>
      </c>
      <c r="F144" s="27" t="s">
        <v>1333</v>
      </c>
      <c r="G144" s="27" t="s">
        <v>921</v>
      </c>
      <c r="H144" s="89" t="s">
        <v>2859</v>
      </c>
    </row>
    <row r="145" spans="2:11" s="25" customFormat="1" ht="16.5" thickBot="1">
      <c r="B145" s="40">
        <f t="shared" si="2"/>
        <v>141</v>
      </c>
      <c r="C145" s="27" t="s">
        <v>2641</v>
      </c>
      <c r="D145" s="29" t="s">
        <v>291</v>
      </c>
      <c r="E145" s="27" t="s">
        <v>865</v>
      </c>
      <c r="F145" s="27" t="s">
        <v>1333</v>
      </c>
      <c r="G145" s="27" t="s">
        <v>923</v>
      </c>
      <c r="H145" s="89" t="s">
        <v>2860</v>
      </c>
    </row>
    <row r="146" spans="2:11" s="25" customFormat="1" ht="16.5" thickBot="1">
      <c r="B146" s="40">
        <f t="shared" si="2"/>
        <v>142</v>
      </c>
      <c r="C146" s="27" t="s">
        <v>2641</v>
      </c>
      <c r="D146" s="29" t="s">
        <v>291</v>
      </c>
      <c r="E146" s="27" t="s">
        <v>865</v>
      </c>
      <c r="F146" s="27" t="s">
        <v>1333</v>
      </c>
      <c r="G146" s="49" t="s">
        <v>989</v>
      </c>
      <c r="H146" s="90" t="s">
        <v>2859</v>
      </c>
    </row>
    <row r="147" spans="2:11" s="25" customFormat="1" ht="16.5" thickBot="1">
      <c r="B147" s="40">
        <f t="shared" si="2"/>
        <v>143</v>
      </c>
      <c r="C147" s="27" t="s">
        <v>2641</v>
      </c>
      <c r="D147" s="29" t="s">
        <v>291</v>
      </c>
      <c r="E147" s="27" t="s">
        <v>865</v>
      </c>
      <c r="F147" s="27" t="s">
        <v>1333</v>
      </c>
      <c r="G147" s="49" t="s">
        <v>992</v>
      </c>
      <c r="H147" s="95" t="s">
        <v>2861</v>
      </c>
    </row>
    <row r="148" spans="2:11" s="25" customFormat="1" ht="32.25" thickBot="1">
      <c r="B148" s="40">
        <f t="shared" si="2"/>
        <v>144</v>
      </c>
      <c r="C148" s="27" t="s">
        <v>2641</v>
      </c>
      <c r="D148" s="29" t="s">
        <v>291</v>
      </c>
      <c r="E148" s="49" t="s">
        <v>865</v>
      </c>
      <c r="F148" s="49"/>
      <c r="G148" s="49" t="s">
        <v>3664</v>
      </c>
      <c r="H148" s="95" t="s">
        <v>3665</v>
      </c>
    </row>
    <row r="149" spans="2:11" s="25" customFormat="1" ht="9" customHeight="1" thickBot="1">
      <c r="B149" s="23">
        <f t="shared" si="2"/>
        <v>145</v>
      </c>
      <c r="C149" s="43"/>
      <c r="D149" s="43"/>
      <c r="E149" s="43"/>
      <c r="F149" s="43"/>
      <c r="G149" s="43"/>
      <c r="H149" s="96"/>
    </row>
    <row r="150" spans="2:11" s="25" customFormat="1" ht="9" customHeight="1" thickBot="1">
      <c r="B150" s="23">
        <f t="shared" si="2"/>
        <v>146</v>
      </c>
      <c r="C150" s="37"/>
      <c r="D150" s="37"/>
      <c r="E150" s="37"/>
      <c r="F150" s="37"/>
      <c r="G150" s="38"/>
      <c r="H150" s="94"/>
    </row>
    <row r="151" spans="2:11" s="25" customFormat="1" ht="16.5" thickBot="1">
      <c r="B151" s="40">
        <f t="shared" si="2"/>
        <v>147</v>
      </c>
      <c r="C151" s="27" t="s">
        <v>2641</v>
      </c>
      <c r="D151" s="29" t="s">
        <v>193</v>
      </c>
      <c r="E151" s="27" t="s">
        <v>865</v>
      </c>
      <c r="F151" s="27" t="s">
        <v>866</v>
      </c>
      <c r="G151" s="26"/>
      <c r="H151" s="88" t="s">
        <v>2864</v>
      </c>
    </row>
    <row r="152" spans="2:11" s="25" customFormat="1" ht="32.25" thickBot="1">
      <c r="B152" s="40">
        <f t="shared" si="2"/>
        <v>148</v>
      </c>
      <c r="C152" s="27" t="s">
        <v>2641</v>
      </c>
      <c r="D152" s="29" t="s">
        <v>193</v>
      </c>
      <c r="E152" s="27" t="s">
        <v>865</v>
      </c>
      <c r="F152" s="27" t="s">
        <v>1728</v>
      </c>
      <c r="G152" s="26"/>
      <c r="H152" s="89" t="s">
        <v>3989</v>
      </c>
      <c r="I152" s="50" t="s">
        <v>2863</v>
      </c>
    </row>
    <row r="153" spans="2:11" s="25" customFormat="1" ht="16.5" thickBot="1">
      <c r="B153" s="40">
        <f t="shared" si="2"/>
        <v>149</v>
      </c>
      <c r="C153" s="27" t="s">
        <v>2641</v>
      </c>
      <c r="D153" s="29" t="s">
        <v>193</v>
      </c>
      <c r="E153" s="27" t="s">
        <v>865</v>
      </c>
      <c r="F153" s="27" t="s">
        <v>1333</v>
      </c>
      <c r="G153" s="27" t="s">
        <v>921</v>
      </c>
      <c r="H153" s="89" t="s">
        <v>2868</v>
      </c>
    </row>
    <row r="154" spans="2:11" s="25" customFormat="1" ht="16.5" thickBot="1">
      <c r="B154" s="40">
        <f t="shared" si="2"/>
        <v>150</v>
      </c>
      <c r="C154" s="27" t="s">
        <v>2641</v>
      </c>
      <c r="D154" s="29" t="s">
        <v>193</v>
      </c>
      <c r="E154" s="27" t="s">
        <v>865</v>
      </c>
      <c r="F154" s="27" t="s">
        <v>1333</v>
      </c>
      <c r="G154" s="27" t="s">
        <v>923</v>
      </c>
      <c r="H154" s="89" t="s">
        <v>2867</v>
      </c>
    </row>
    <row r="155" spans="2:11" s="25" customFormat="1" ht="16.5" thickBot="1">
      <c r="B155" s="40">
        <f t="shared" si="2"/>
        <v>151</v>
      </c>
      <c r="C155" s="27" t="s">
        <v>2641</v>
      </c>
      <c r="D155" s="29" t="s">
        <v>193</v>
      </c>
      <c r="E155" s="27" t="s">
        <v>865</v>
      </c>
      <c r="F155" s="27" t="s">
        <v>1333</v>
      </c>
      <c r="G155" s="49" t="s">
        <v>989</v>
      </c>
      <c r="H155" s="89" t="s">
        <v>2866</v>
      </c>
    </row>
    <row r="156" spans="2:11" s="25" customFormat="1" ht="15.75">
      <c r="B156" s="40">
        <f t="shared" si="2"/>
        <v>152</v>
      </c>
      <c r="C156" s="27" t="s">
        <v>2641</v>
      </c>
      <c r="D156" s="29" t="s">
        <v>193</v>
      </c>
      <c r="E156" s="27" t="s">
        <v>865</v>
      </c>
      <c r="F156" s="27" t="s">
        <v>1333</v>
      </c>
      <c r="G156" s="49" t="s">
        <v>992</v>
      </c>
      <c r="H156" s="90" t="s">
        <v>2865</v>
      </c>
    </row>
    <row r="157" spans="2:11" s="25" customFormat="1" ht="9" customHeight="1" thickBot="1">
      <c r="B157" s="23">
        <f t="shared" si="2"/>
        <v>153</v>
      </c>
      <c r="C157" s="43"/>
      <c r="D157" s="43"/>
      <c r="E157" s="43"/>
      <c r="F157" s="43"/>
      <c r="G157" s="43"/>
      <c r="H157" s="44"/>
    </row>
    <row r="158" spans="2:11" ht="16.5" thickBot="1">
      <c r="E158" s="25"/>
      <c r="K158" s="10"/>
    </row>
    <row r="159" spans="2:11" ht="15.75" thickBot="1">
      <c r="C159" s="111"/>
      <c r="D159" s="112"/>
      <c r="F159" s="111"/>
      <c r="G159" s="113"/>
      <c r="H159" s="113"/>
      <c r="I159" s="113"/>
      <c r="J159" s="112"/>
    </row>
    <row r="160" spans="2:11">
      <c r="C160" s="72"/>
      <c r="D160" s="73"/>
      <c r="F160" s="72"/>
      <c r="G160" s="76"/>
      <c r="H160" s="76"/>
      <c r="I160" s="76"/>
      <c r="J160" s="73"/>
    </row>
    <row r="161" spans="3:10">
      <c r="C161" s="72"/>
      <c r="D161" s="73"/>
      <c r="F161" s="72"/>
      <c r="G161" s="76"/>
      <c r="H161" s="76"/>
      <c r="I161" s="76"/>
      <c r="J161" s="73"/>
    </row>
    <row r="162" spans="3:10">
      <c r="C162" s="72"/>
      <c r="D162" s="73"/>
      <c r="F162" s="72"/>
      <c r="G162" s="76"/>
      <c r="H162" s="76"/>
      <c r="I162" s="76"/>
      <c r="J162" s="73"/>
    </row>
    <row r="163" spans="3:10">
      <c r="C163" s="72"/>
      <c r="D163" s="73"/>
      <c r="F163" s="72"/>
      <c r="G163" s="76"/>
      <c r="H163" s="76"/>
      <c r="I163" s="76"/>
      <c r="J163" s="73"/>
    </row>
    <row r="164" spans="3:10">
      <c r="C164" s="72"/>
      <c r="D164" s="73"/>
      <c r="F164" s="72"/>
      <c r="G164" s="76"/>
      <c r="H164" s="76"/>
      <c r="I164" s="76"/>
      <c r="J164" s="73"/>
    </row>
    <row r="165" spans="3:10">
      <c r="C165" s="72"/>
      <c r="D165" s="73"/>
      <c r="F165" s="72"/>
      <c r="G165" s="76"/>
      <c r="H165" s="76"/>
      <c r="I165" s="76"/>
      <c r="J165" s="73"/>
    </row>
    <row r="166" spans="3:10">
      <c r="C166" s="72"/>
      <c r="D166" s="73"/>
      <c r="F166" s="72"/>
      <c r="G166" s="76"/>
      <c r="H166" s="76"/>
      <c r="I166" s="76"/>
      <c r="J166" s="73"/>
    </row>
    <row r="167" spans="3:10">
      <c r="C167" s="72"/>
      <c r="D167" s="73"/>
      <c r="F167" s="72"/>
      <c r="G167" s="76"/>
      <c r="H167" s="76"/>
      <c r="I167" s="76"/>
      <c r="J167" s="73"/>
    </row>
    <row r="168" spans="3:10">
      <c r="C168" s="72"/>
      <c r="D168" s="73"/>
      <c r="F168" s="72"/>
      <c r="G168" s="76"/>
      <c r="H168" s="76"/>
      <c r="I168" s="76"/>
      <c r="J168" s="73"/>
    </row>
    <row r="169" spans="3:10">
      <c r="C169" s="72"/>
      <c r="D169" s="73"/>
      <c r="F169" s="72"/>
      <c r="G169" s="76"/>
      <c r="H169" s="76"/>
      <c r="I169" s="76"/>
      <c r="J169" s="73"/>
    </row>
    <row r="170" spans="3:10">
      <c r="C170" s="72"/>
      <c r="D170" s="73"/>
      <c r="F170" s="72"/>
      <c r="G170" s="76"/>
      <c r="H170" s="76"/>
      <c r="I170" s="76"/>
      <c r="J170" s="73"/>
    </row>
    <row r="171" spans="3:10">
      <c r="C171" s="72"/>
      <c r="D171" s="73"/>
      <c r="F171" s="72"/>
      <c r="G171" s="76"/>
      <c r="H171" s="76"/>
      <c r="I171" s="76"/>
      <c r="J171" s="73"/>
    </row>
    <row r="172" spans="3:10">
      <c r="C172" s="72"/>
      <c r="D172" s="73"/>
      <c r="F172" s="72"/>
      <c r="G172" s="76"/>
      <c r="H172" s="76"/>
      <c r="I172" s="76"/>
      <c r="J172" s="73"/>
    </row>
    <row r="173" spans="3:10">
      <c r="C173" s="72"/>
      <c r="D173" s="73"/>
      <c r="F173" s="72"/>
      <c r="G173" s="76"/>
      <c r="H173" s="76"/>
      <c r="I173" s="76"/>
      <c r="J173" s="73"/>
    </row>
    <row r="174" spans="3:10">
      <c r="C174" s="72"/>
      <c r="D174" s="73"/>
      <c r="F174" s="72"/>
      <c r="G174" s="76"/>
      <c r="H174" s="76"/>
      <c r="I174" s="76"/>
      <c r="J174" s="73"/>
    </row>
    <row r="175" spans="3:10">
      <c r="C175" s="72"/>
      <c r="D175" s="73"/>
      <c r="F175" s="72"/>
      <c r="G175" s="76"/>
      <c r="H175" s="76"/>
      <c r="I175" s="76"/>
      <c r="J175" s="73"/>
    </row>
    <row r="176" spans="3:10">
      <c r="C176" s="72"/>
      <c r="D176" s="73"/>
      <c r="F176" s="72"/>
      <c r="G176" s="76"/>
      <c r="H176" s="76"/>
      <c r="I176" s="76"/>
      <c r="J176" s="73"/>
    </row>
    <row r="177" spans="3:10">
      <c r="C177" s="72"/>
      <c r="D177" s="73"/>
      <c r="F177" s="72"/>
      <c r="G177" s="76"/>
      <c r="H177" s="76"/>
      <c r="I177" s="76"/>
      <c r="J177" s="73"/>
    </row>
    <row r="178" spans="3:10">
      <c r="C178" s="72"/>
      <c r="D178" s="73"/>
      <c r="F178" s="72"/>
      <c r="G178" s="76"/>
      <c r="H178" s="76"/>
      <c r="I178" s="76"/>
      <c r="J178" s="73"/>
    </row>
    <row r="179" spans="3:10">
      <c r="C179" s="72"/>
      <c r="D179" s="73"/>
      <c r="F179" s="72"/>
      <c r="G179" s="76"/>
      <c r="H179" s="76"/>
      <c r="I179" s="76"/>
      <c r="J179" s="73"/>
    </row>
    <row r="180" spans="3:10">
      <c r="C180" s="72"/>
      <c r="D180" s="73"/>
      <c r="F180" s="72"/>
      <c r="G180" s="76"/>
      <c r="H180" s="76"/>
      <c r="I180" s="76"/>
      <c r="J180" s="73"/>
    </row>
    <row r="181" spans="3:10">
      <c r="C181" s="72"/>
      <c r="D181" s="73"/>
      <c r="F181" s="72"/>
      <c r="G181" s="76"/>
      <c r="H181" s="76"/>
      <c r="I181" s="76"/>
      <c r="J181" s="73"/>
    </row>
    <row r="182" spans="3:10">
      <c r="C182" s="72"/>
      <c r="D182" s="73"/>
      <c r="F182" s="72"/>
      <c r="G182" s="76"/>
      <c r="H182" s="76"/>
      <c r="I182" s="76"/>
      <c r="J182" s="73"/>
    </row>
    <row r="183" spans="3:10">
      <c r="C183" s="72"/>
      <c r="D183" s="73"/>
      <c r="F183" s="72"/>
      <c r="G183" s="76"/>
      <c r="H183" s="76"/>
      <c r="I183" s="76"/>
      <c r="J183" s="73"/>
    </row>
    <row r="184" spans="3:10">
      <c r="C184" s="72"/>
      <c r="D184" s="73"/>
      <c r="F184" s="72"/>
      <c r="G184" s="76"/>
      <c r="H184" s="76"/>
      <c r="I184" s="76"/>
      <c r="J184" s="73"/>
    </row>
    <row r="185" spans="3:10">
      <c r="C185" s="72"/>
      <c r="D185" s="73"/>
      <c r="F185" s="72"/>
      <c r="G185" s="76"/>
      <c r="H185" s="76"/>
      <c r="I185" s="76"/>
      <c r="J185" s="73"/>
    </row>
    <row r="186" spans="3:10">
      <c r="C186" s="72"/>
      <c r="D186" s="73"/>
      <c r="F186" s="72"/>
      <c r="G186" s="76"/>
      <c r="H186" s="76"/>
      <c r="I186" s="76"/>
      <c r="J186" s="73"/>
    </row>
    <row r="187" spans="3:10">
      <c r="C187" s="72"/>
      <c r="D187" s="73"/>
      <c r="F187" s="72"/>
      <c r="G187" s="76"/>
      <c r="H187" s="76"/>
      <c r="I187" s="76"/>
      <c r="J187" s="73"/>
    </row>
    <row r="188" spans="3:10">
      <c r="C188" s="72"/>
      <c r="D188" s="73"/>
      <c r="F188" s="72"/>
      <c r="G188" s="76"/>
      <c r="H188" s="76"/>
      <c r="I188" s="76"/>
      <c r="J188" s="73"/>
    </row>
    <row r="189" spans="3:10">
      <c r="C189" s="72"/>
      <c r="D189" s="73"/>
      <c r="F189" s="72"/>
      <c r="G189" s="76"/>
      <c r="H189" s="76"/>
      <c r="I189" s="76"/>
      <c r="J189" s="73"/>
    </row>
    <row r="190" spans="3:10">
      <c r="C190" s="72"/>
      <c r="D190" s="73"/>
      <c r="F190" s="72"/>
      <c r="G190" s="76"/>
      <c r="H190" s="76"/>
      <c r="I190" s="76"/>
      <c r="J190" s="73"/>
    </row>
    <row r="191" spans="3:10">
      <c r="C191" s="72"/>
      <c r="D191" s="73"/>
      <c r="F191" s="72"/>
      <c r="G191" s="76"/>
      <c r="H191" s="76"/>
      <c r="I191" s="76"/>
      <c r="J191" s="73"/>
    </row>
    <row r="192" spans="3:10">
      <c r="C192" s="72"/>
      <c r="D192" s="73"/>
      <c r="F192" s="72"/>
      <c r="G192" s="76"/>
      <c r="H192" s="76"/>
      <c r="I192" s="76"/>
      <c r="J192" s="73"/>
    </row>
    <row r="193" spans="3:10">
      <c r="C193" s="72"/>
      <c r="D193" s="73"/>
      <c r="F193" s="72"/>
      <c r="G193" s="76"/>
      <c r="H193" s="76"/>
      <c r="I193" s="76"/>
      <c r="J193" s="73"/>
    </row>
    <row r="194" spans="3:10">
      <c r="C194" s="72"/>
      <c r="D194" s="73"/>
      <c r="F194" s="72"/>
      <c r="G194" s="76"/>
      <c r="H194" s="76"/>
      <c r="I194" s="76"/>
      <c r="J194" s="73"/>
    </row>
    <row r="195" spans="3:10">
      <c r="C195" s="72"/>
      <c r="D195" s="73"/>
      <c r="F195" s="72"/>
      <c r="G195" s="76"/>
      <c r="H195" s="76"/>
      <c r="I195" s="76"/>
      <c r="J195" s="73"/>
    </row>
    <row r="196" spans="3:10">
      <c r="C196" s="72"/>
      <c r="D196" s="73"/>
      <c r="F196" s="72"/>
      <c r="G196" s="76"/>
      <c r="H196" s="76"/>
      <c r="I196" s="76"/>
      <c r="J196" s="73"/>
    </row>
    <row r="197" spans="3:10">
      <c r="C197" s="72"/>
      <c r="D197" s="73"/>
      <c r="F197" s="72"/>
      <c r="G197" s="76"/>
      <c r="H197" s="76"/>
      <c r="I197" s="76"/>
      <c r="J197" s="73"/>
    </row>
    <row r="198" spans="3:10">
      <c r="C198" s="72"/>
      <c r="D198" s="73"/>
      <c r="F198" s="72"/>
      <c r="G198" s="76"/>
      <c r="H198" s="76"/>
      <c r="I198" s="76"/>
      <c r="J198" s="73"/>
    </row>
    <row r="199" spans="3:10">
      <c r="C199" s="72"/>
      <c r="D199" s="73"/>
      <c r="F199" s="72"/>
      <c r="G199" s="76"/>
      <c r="H199" s="76"/>
      <c r="I199" s="76"/>
      <c r="J199" s="73"/>
    </row>
    <row r="200" spans="3:10">
      <c r="C200" s="72"/>
      <c r="D200" s="73"/>
      <c r="F200" s="72"/>
      <c r="G200" s="76"/>
      <c r="H200" s="76"/>
      <c r="I200" s="76"/>
      <c r="J200" s="73"/>
    </row>
    <row r="201" spans="3:10">
      <c r="C201" s="72"/>
      <c r="D201" s="73"/>
      <c r="F201" s="72"/>
      <c r="G201" s="76"/>
      <c r="H201" s="76"/>
      <c r="I201" s="76"/>
      <c r="J201" s="73"/>
    </row>
    <row r="202" spans="3:10">
      <c r="C202" s="72"/>
      <c r="D202" s="73"/>
      <c r="F202" s="72"/>
      <c r="G202" s="76"/>
      <c r="H202" s="76"/>
      <c r="I202" s="76"/>
      <c r="J202" s="73"/>
    </row>
    <row r="203" spans="3:10">
      <c r="C203" s="72"/>
      <c r="D203" s="73"/>
      <c r="F203" s="72"/>
      <c r="G203" s="76"/>
      <c r="H203" s="76"/>
      <c r="I203" s="76"/>
      <c r="J203" s="73"/>
    </row>
    <row r="204" spans="3:10">
      <c r="C204" s="72"/>
      <c r="D204" s="73"/>
      <c r="F204" s="72"/>
      <c r="G204" s="76"/>
      <c r="H204" s="76"/>
      <c r="I204" s="76"/>
      <c r="J204" s="73"/>
    </row>
    <row r="205" spans="3:10">
      <c r="C205" s="72"/>
      <c r="D205" s="73"/>
      <c r="F205" s="72"/>
      <c r="G205" s="76"/>
      <c r="H205" s="76"/>
      <c r="I205" s="76"/>
      <c r="J205" s="73"/>
    </row>
    <row r="206" spans="3:10">
      <c r="C206" s="72"/>
      <c r="D206" s="73"/>
      <c r="F206" s="72"/>
      <c r="G206" s="76"/>
      <c r="H206" s="76"/>
      <c r="I206" s="76"/>
      <c r="J206" s="73"/>
    </row>
    <row r="207" spans="3:10">
      <c r="C207" s="72"/>
      <c r="D207" s="73"/>
      <c r="F207" s="72"/>
      <c r="G207" s="76"/>
      <c r="H207" s="76"/>
      <c r="I207" s="76"/>
      <c r="J207" s="73"/>
    </row>
    <row r="208" spans="3:10">
      <c r="C208" s="72"/>
      <c r="D208" s="73"/>
      <c r="F208" s="72"/>
      <c r="G208" s="76"/>
      <c r="H208" s="76"/>
      <c r="I208" s="76"/>
      <c r="J208" s="73"/>
    </row>
    <row r="209" spans="3:10">
      <c r="C209" s="72"/>
      <c r="D209" s="73"/>
      <c r="F209" s="72"/>
      <c r="G209" s="76"/>
      <c r="H209" s="76"/>
      <c r="I209" s="76"/>
      <c r="J209" s="73"/>
    </row>
    <row r="210" spans="3:10">
      <c r="C210" s="72"/>
      <c r="D210" s="73"/>
      <c r="F210" s="72"/>
      <c r="G210" s="76"/>
      <c r="H210" s="76"/>
      <c r="I210" s="76"/>
      <c r="J210" s="73"/>
    </row>
    <row r="211" spans="3:10">
      <c r="C211" s="72"/>
      <c r="D211" s="73"/>
      <c r="F211" s="72"/>
      <c r="G211" s="76"/>
      <c r="H211" s="76"/>
      <c r="I211" s="76"/>
      <c r="J211" s="73"/>
    </row>
    <row r="212" spans="3:10">
      <c r="C212" s="72"/>
      <c r="D212" s="73"/>
      <c r="F212" s="72"/>
      <c r="G212" s="76"/>
      <c r="H212" s="76"/>
      <c r="I212" s="76"/>
      <c r="J212" s="73"/>
    </row>
    <row r="213" spans="3:10">
      <c r="C213" s="72"/>
      <c r="D213" s="73"/>
      <c r="F213" s="72"/>
      <c r="G213" s="76"/>
      <c r="H213" s="76"/>
      <c r="I213" s="76"/>
      <c r="J213" s="73"/>
    </row>
    <row r="214" spans="3:10">
      <c r="C214" s="72"/>
      <c r="D214" s="73"/>
      <c r="F214" s="72"/>
      <c r="G214" s="76"/>
      <c r="H214" s="76"/>
      <c r="I214" s="76"/>
      <c r="J214" s="73"/>
    </row>
    <row r="215" spans="3:10">
      <c r="C215" s="72"/>
      <c r="D215" s="73"/>
      <c r="F215" s="72"/>
      <c r="G215" s="76"/>
      <c r="H215" s="76"/>
      <c r="I215" s="76"/>
      <c r="J215" s="73"/>
    </row>
    <row r="216" spans="3:10">
      <c r="C216" s="72"/>
      <c r="D216" s="73"/>
      <c r="F216" s="72"/>
      <c r="G216" s="76"/>
      <c r="H216" s="76"/>
      <c r="I216" s="76"/>
      <c r="J216" s="73"/>
    </row>
    <row r="217" spans="3:10">
      <c r="C217" s="72"/>
      <c r="D217" s="73"/>
      <c r="F217" s="72"/>
      <c r="G217" s="76"/>
      <c r="H217" s="76"/>
      <c r="I217" s="76"/>
      <c r="J217" s="73"/>
    </row>
    <row r="218" spans="3:10">
      <c r="C218" s="72"/>
      <c r="D218" s="73"/>
      <c r="F218" s="72"/>
      <c r="G218" s="76"/>
      <c r="H218" s="76"/>
      <c r="I218" s="76"/>
      <c r="J218" s="73"/>
    </row>
    <row r="219" spans="3:10">
      <c r="C219" s="72"/>
      <c r="D219" s="73"/>
      <c r="F219" s="72"/>
      <c r="G219" s="76"/>
      <c r="H219" s="76"/>
      <c r="I219" s="76"/>
      <c r="J219" s="73"/>
    </row>
    <row r="220" spans="3:10">
      <c r="C220" s="72"/>
      <c r="D220" s="73"/>
      <c r="F220" s="72"/>
      <c r="G220" s="76"/>
      <c r="H220" s="76"/>
      <c r="I220" s="76"/>
      <c r="J220" s="73"/>
    </row>
    <row r="221" spans="3:10">
      <c r="C221" s="72"/>
      <c r="D221" s="73"/>
      <c r="F221" s="72"/>
      <c r="G221" s="76"/>
      <c r="H221" s="76"/>
      <c r="I221" s="76"/>
      <c r="J221" s="73"/>
    </row>
    <row r="222" spans="3:10">
      <c r="C222" s="72"/>
      <c r="D222" s="73"/>
      <c r="F222" s="72"/>
      <c r="G222" s="76"/>
      <c r="H222" s="76"/>
      <c r="I222" s="76"/>
      <c r="J222" s="73"/>
    </row>
    <row r="223" spans="3:10">
      <c r="C223" s="72"/>
      <c r="D223" s="73"/>
      <c r="F223" s="72"/>
      <c r="G223" s="76"/>
      <c r="H223" s="76"/>
      <c r="I223" s="76"/>
      <c r="J223" s="73"/>
    </row>
    <row r="224" spans="3:10">
      <c r="C224" s="72"/>
      <c r="D224" s="73"/>
      <c r="F224" s="72"/>
      <c r="G224" s="76"/>
      <c r="H224" s="76"/>
      <c r="I224" s="76"/>
      <c r="J224" s="73"/>
    </row>
    <row r="225" spans="3:10">
      <c r="C225" s="72"/>
      <c r="D225" s="73"/>
      <c r="F225" s="72"/>
      <c r="G225" s="76"/>
      <c r="H225" s="76"/>
      <c r="I225" s="76"/>
      <c r="J225" s="73"/>
    </row>
    <row r="226" spans="3:10">
      <c r="C226" s="72"/>
      <c r="D226" s="73"/>
      <c r="F226" s="72"/>
      <c r="G226" s="76"/>
      <c r="H226" s="76"/>
      <c r="I226" s="76"/>
      <c r="J226" s="73"/>
    </row>
    <row r="227" spans="3:10">
      <c r="C227" s="72"/>
      <c r="D227" s="73"/>
      <c r="F227" s="72"/>
      <c r="G227" s="76"/>
      <c r="H227" s="76"/>
      <c r="I227" s="76"/>
      <c r="J227" s="73"/>
    </row>
    <row r="228" spans="3:10">
      <c r="C228" s="72"/>
      <c r="D228" s="73"/>
      <c r="F228" s="72"/>
      <c r="G228" s="76"/>
      <c r="H228" s="76"/>
      <c r="I228" s="76"/>
      <c r="J228" s="73"/>
    </row>
    <row r="229" spans="3:10">
      <c r="C229" s="72"/>
      <c r="D229" s="73"/>
      <c r="F229" s="72"/>
      <c r="G229" s="76"/>
      <c r="H229" s="76"/>
      <c r="I229" s="76"/>
      <c r="J229" s="73"/>
    </row>
    <row r="230" spans="3:10">
      <c r="C230" s="72"/>
      <c r="D230" s="73"/>
      <c r="F230" s="72"/>
      <c r="G230" s="76"/>
      <c r="H230" s="76"/>
      <c r="I230" s="76"/>
      <c r="J230" s="73"/>
    </row>
    <row r="231" spans="3:10">
      <c r="C231" s="72"/>
      <c r="D231" s="73"/>
      <c r="F231" s="72"/>
      <c r="G231" s="76"/>
      <c r="H231" s="76"/>
      <c r="I231" s="76"/>
      <c r="J231" s="73"/>
    </row>
    <row r="232" spans="3:10">
      <c r="C232" s="72"/>
      <c r="D232" s="73"/>
      <c r="F232" s="72"/>
      <c r="G232" s="76"/>
      <c r="H232" s="76"/>
      <c r="I232" s="76"/>
      <c r="J232" s="73"/>
    </row>
    <row r="233" spans="3:10">
      <c r="C233" s="72"/>
      <c r="D233" s="73"/>
      <c r="F233" s="72"/>
      <c r="G233" s="76"/>
      <c r="H233" s="76"/>
      <c r="I233" s="76"/>
      <c r="J233" s="73"/>
    </row>
    <row r="234" spans="3:10">
      <c r="C234" s="72"/>
      <c r="D234" s="73"/>
      <c r="F234" s="72"/>
      <c r="G234" s="76"/>
      <c r="H234" s="76"/>
      <c r="I234" s="76"/>
      <c r="J234" s="73"/>
    </row>
    <row r="235" spans="3:10">
      <c r="C235" s="72"/>
      <c r="D235" s="73"/>
      <c r="F235" s="72"/>
      <c r="G235" s="76"/>
      <c r="H235" s="76"/>
      <c r="I235" s="76"/>
      <c r="J235" s="73"/>
    </row>
    <row r="236" spans="3:10">
      <c r="C236" s="72"/>
      <c r="D236" s="73"/>
      <c r="F236" s="72"/>
      <c r="G236" s="76"/>
      <c r="H236" s="76"/>
      <c r="I236" s="76"/>
      <c r="J236" s="73"/>
    </row>
    <row r="237" spans="3:10">
      <c r="C237" s="72"/>
      <c r="D237" s="73"/>
      <c r="F237" s="72"/>
      <c r="G237" s="76"/>
      <c r="H237" s="76"/>
      <c r="I237" s="76"/>
      <c r="J237" s="73"/>
    </row>
    <row r="238" spans="3:10">
      <c r="C238" s="72"/>
      <c r="D238" s="73"/>
      <c r="F238" s="72"/>
      <c r="G238" s="76"/>
      <c r="H238" s="76"/>
      <c r="I238" s="76"/>
      <c r="J238" s="73"/>
    </row>
    <row r="239" spans="3:10">
      <c r="C239" s="72"/>
      <c r="D239" s="73"/>
      <c r="F239" s="72"/>
      <c r="G239" s="76"/>
      <c r="H239" s="76"/>
      <c r="I239" s="76"/>
      <c r="J239" s="73"/>
    </row>
    <row r="240" spans="3:10">
      <c r="C240" s="72"/>
      <c r="D240" s="73"/>
      <c r="F240" s="72"/>
      <c r="G240" s="76"/>
      <c r="H240" s="76"/>
      <c r="I240" s="76"/>
      <c r="J240" s="73"/>
    </row>
    <row r="241" spans="3:10">
      <c r="C241" s="72"/>
      <c r="D241" s="73"/>
      <c r="F241" s="72"/>
      <c r="G241" s="76"/>
      <c r="H241" s="76"/>
      <c r="I241" s="76"/>
      <c r="J241" s="73"/>
    </row>
    <row r="242" spans="3:10" ht="15.75" thickBot="1">
      <c r="C242" s="72"/>
      <c r="D242" s="73"/>
      <c r="F242" s="74"/>
      <c r="G242" s="77"/>
      <c r="H242" s="77"/>
      <c r="I242" s="77"/>
      <c r="J242" s="75"/>
    </row>
    <row r="243" spans="3:10">
      <c r="C243" s="72"/>
      <c r="D243" s="73"/>
    </row>
    <row r="244" spans="3:10">
      <c r="C244" s="72"/>
      <c r="D244" s="73"/>
    </row>
    <row r="245" spans="3:10">
      <c r="C245" s="72"/>
      <c r="D245" s="73"/>
    </row>
    <row r="246" spans="3:10">
      <c r="C246" s="72"/>
      <c r="D246" s="73"/>
    </row>
    <row r="247" spans="3:10">
      <c r="C247" s="72"/>
      <c r="D247" s="73"/>
    </row>
    <row r="248" spans="3:10">
      <c r="C248" s="72"/>
      <c r="D248" s="73"/>
    </row>
    <row r="249" spans="3:10">
      <c r="C249" s="72"/>
      <c r="D249" s="83"/>
    </row>
    <row r="250" spans="3:10">
      <c r="C250" s="72"/>
      <c r="D250" s="73"/>
    </row>
    <row r="251" spans="3:10">
      <c r="C251" s="72"/>
      <c r="D251" s="73"/>
    </row>
    <row r="252" spans="3:10">
      <c r="C252" s="72"/>
      <c r="D252" s="73"/>
    </row>
    <row r="253" spans="3:10">
      <c r="C253" s="72"/>
      <c r="D253" s="73"/>
    </row>
    <row r="254" spans="3:10">
      <c r="C254" s="72"/>
      <c r="D254" s="73"/>
    </row>
    <row r="255" spans="3:10">
      <c r="C255" s="72"/>
      <c r="D255" s="73"/>
    </row>
    <row r="256" spans="3:10">
      <c r="C256" s="72"/>
      <c r="D256" s="73"/>
    </row>
    <row r="257" spans="3:4">
      <c r="C257" s="72"/>
      <c r="D257" s="73"/>
    </row>
    <row r="258" spans="3:4">
      <c r="C258" s="72"/>
      <c r="D258" s="73"/>
    </row>
    <row r="259" spans="3:4">
      <c r="C259" s="72"/>
      <c r="D259" s="73"/>
    </row>
    <row r="260" spans="3:4">
      <c r="C260" s="72"/>
      <c r="D260" s="73"/>
    </row>
    <row r="261" spans="3:4">
      <c r="C261" s="72"/>
      <c r="D261" s="73"/>
    </row>
    <row r="262" spans="3:4">
      <c r="C262" s="72"/>
      <c r="D262" s="73"/>
    </row>
    <row r="263" spans="3:4">
      <c r="C263" s="72"/>
      <c r="D263" s="73"/>
    </row>
    <row r="264" spans="3:4">
      <c r="C264" s="72"/>
      <c r="D264" s="73"/>
    </row>
    <row r="265" spans="3:4">
      <c r="C265" s="72"/>
      <c r="D265" s="73"/>
    </row>
    <row r="266" spans="3:4">
      <c r="C266" s="72"/>
      <c r="D266" s="73"/>
    </row>
    <row r="267" spans="3:4">
      <c r="C267" s="72"/>
      <c r="D267" s="73"/>
    </row>
    <row r="268" spans="3:4">
      <c r="C268" s="72"/>
      <c r="D268" s="73"/>
    </row>
    <row r="269" spans="3:4">
      <c r="C269" s="72"/>
      <c r="D269" s="73"/>
    </row>
    <row r="270" spans="3:4">
      <c r="C270" s="72"/>
      <c r="D270" s="73"/>
    </row>
    <row r="271" spans="3:4">
      <c r="C271" s="72"/>
      <c r="D271" s="73"/>
    </row>
    <row r="272" spans="3:4">
      <c r="C272" s="72"/>
      <c r="D272" s="73"/>
    </row>
    <row r="273" spans="3:4">
      <c r="C273" s="72"/>
      <c r="D273" s="73"/>
    </row>
    <row r="274" spans="3:4" ht="15.75" thickBot="1">
      <c r="C274" s="74"/>
      <c r="D274" s="75"/>
    </row>
  </sheetData>
  <mergeCells count="3">
    <mergeCell ref="C1:H1"/>
    <mergeCell ref="C159:D159"/>
    <mergeCell ref="F159:J159"/>
  </mergeCells>
  <dataValidations count="5">
    <dataValidation type="custom" allowBlank="1" showInputMessage="1" showErrorMessage="1" sqref="E157 E149:E150 E140:E141 E132:E133 E119:E120 E112:E113 E80:E81 E55:E56 E63:E64 E72:E73 E96:E97 E88:E89 E104:E105 E126:E127 E11:E12 E3:E4 E19:E20 E47:E48 E31:E32 E39:E40">
      <formula1>"Referencia,Servicios"</formula1>
    </dataValidation>
    <dataValidation type="list" allowBlank="1" showInputMessage="1" showErrorMessage="1" sqref="C134:C139 C151:C156 C128:C131 C121:C125 C65:C71 C106:C111 C90:C95 C114:C118 C74:C79 C98:C103 C82:C87 C57:C62 C142:C148 C13:C18 C5:C10 C21:C30 C41:C46 C33:C38 C49:C54">
      <formula1>Grupo</formula1>
    </dataValidation>
    <dataValidation type="list" allowBlank="1" showInputMessage="1" showErrorMessage="1" sqref="D128:D131 D151:D156 D134:D139 D121:D125 D65:D71 D98:D103 D74:D79 D57:D62 D114:D118 D82:D87 D106:D111 D90:D95 D142:D148 D5:D10 D13:D18 D21:D30 D41:D46 D49:D54 D33:D38">
      <formula1>Estaciones</formula1>
    </dataValidation>
    <dataValidation type="list" allowBlank="1" showInputMessage="1" showErrorMessage="1" sqref="F142:F148 F134:F139 F128:F131 F121:F125 F106:F111 F98:F103 F114:F118 F57:F62 F74:F79 F65:F71 F82:F87 F90:F95 F151:F156 F21:F30 F5:F10 F13:F18 F49:F54 F41:F46 F33:F38">
      <formula1>Clase</formula1>
    </dataValidation>
    <dataValidation type="list" allowBlank="1" showInputMessage="1" showErrorMessage="1" sqref="E134:E139 E142:E148 E128:E131 E121:E125 E106:E111 E114:E118 E98:E103 E57:E62 E74:E79 E65:E71 E82:E87 E90:E95 E151:E156 E21:E30 E13:E18 E5:E10 E49:E54 E41:E46 E33:E38">
      <formula1>"Servicios,Referencia"</formula1>
    </dataValidation>
  </dataValidations>
  <hyperlinks>
    <hyperlink ref="I22" r:id="rId1" display="http://toolserver.org/~geohack/geohack.php?pagename=San_Juan_de_Letr%C3%A1n_(estaci%C3%B3n)&amp;language=es&amp;params=19.431305_N_99.141569_W_region:MX_type:railwaystation"/>
    <hyperlink ref="I42" r:id="rId2" display="http://toolserver.org/~geohack/geohack.php?pagename=Doctores_(estaci%C3%B3n)&amp;language=es&amp;params=19.421612_N_99.143372_W_region:MX_type:railwaystation"/>
    <hyperlink ref="I66" r:id="rId3" display="http://toolserver.org/~geohack/geohack.php?pagename=La_Viga_(estaci%C3%B3n)&amp;language=es&amp;params=19.406495_N_99.126248_W_region:MX_type:railwaystation"/>
    <hyperlink ref="I50" r:id="rId4" display="http://toolserver.org/~geohack/geohack.php?pagename=Obrera_(estaci%C3%B3n)&amp;language=es&amp;params=19.413558_N_99.144187_W_region:MX_type:railwaystation"/>
    <hyperlink ref="I83" r:id="rId5" display="http://toolserver.org/~geohack/geohack.php?pagename=Coyuya_(estaci%C3%B3n)&amp;language=es&amp;params=19.398521_N_99.113545_W_region:MX_type:railwaystation"/>
    <hyperlink ref="I91" r:id="rId6" display="http://toolserver.org/~geohack/geohack.php?pagename=Iztacalco_(estaci%C3%B3n)&amp;language=es&amp;params=19.398521_N_99.113545_W_region:MX_type:railwaystation"/>
    <hyperlink ref="I99" r:id="rId7" display="http://toolserver.org/~geohack/geohack.php?pagename=Apatlaco_(estaci%C3%B3n)&amp;language=es&amp;params=19.379292_N_99.109597_W_region:MX_type:railwaystation"/>
    <hyperlink ref="I107" r:id="rId8" display="http://toolserver.org/~geohack/geohack.php?pagename=Aculco_(estaci%C3%B3n)&amp;language=es&amp;params=19.374069_N_99.108095_W_region:MX_type:railwaystation"/>
    <hyperlink ref="I115" r:id="rId9" display="http://toolserver.org/~geohack/geohack.php?pagename=Escuadr%C3%B3n_201_(estaci%C3%B3n)&amp;language=es&amp;params=19.36492_N_99.109554_W_region:MX_type:railwaystation"/>
    <hyperlink ref="I122" r:id="rId10" display="http://toolserver.org/~geohack/geohack.php?pagename=Atlalilco_(estaci%C3%B3n)&amp;language=es&amp;params=19.356134_N_99.101315_W_region:MX_type:railwaystation"/>
    <hyperlink ref="I129" r:id="rId11" display="http://toolserver.org/~geohack/geohack.php?pagename=Iztapalapa_(estaci%C3%B3n)&amp;language=es&amp;params=19.357834_N_99.093461_W_region:MX_type:railwaystation"/>
    <hyperlink ref="I135" r:id="rId12" display="http://toolserver.org/~geohack/geohack.php?pagename=Cerro_de_la_Estrella_(estaci%C3%B3n)&amp;language=es&amp;params=19.356012_N_99.085522_W_region:MX_type:railwaystation"/>
    <hyperlink ref="I143" r:id="rId13" display="http://toolserver.org/~geohack/geohack.php?pagename=UAM-I_(estaci%C3%B3n)&amp;language=es&amp;params=19.351234_N_99.074707_W_region:MX_type:railwaystation"/>
    <hyperlink ref="I152" r:id="rId14" display="http://toolserver.org/~geohack/geohack.php?pagename=Constituci%C3%B3n_de_1917_(estaci%C3%B3n)&amp;language=es&amp;params=19.34593_N_99.063892_W_region:MX_type:railwaystation"/>
  </hyperlinks>
  <pageMargins left="0.7" right="0.7" top="0.75" bottom="0.75" header="0.3" footer="0.3"/>
  <legacyDrawing r:id="rId15"/>
</worksheet>
</file>

<file path=xl/worksheets/sheet19.xml><?xml version="1.0" encoding="utf-8"?>
<worksheet xmlns="http://schemas.openxmlformats.org/spreadsheetml/2006/main" xmlns:r="http://schemas.openxmlformats.org/officeDocument/2006/relationships">
  <sheetPr codeName="Hoja23"/>
  <dimension ref="B1:M220"/>
  <sheetViews>
    <sheetView workbookViewId="0">
      <selection activeCell="H24" sqref="H24"/>
    </sheetView>
  </sheetViews>
  <sheetFormatPr baseColWidth="10" defaultRowHeight="15"/>
  <cols>
    <col min="1" max="1" width="3" customWidth="1"/>
    <col min="2" max="2" width="4.42578125" bestFit="1" customWidth="1"/>
    <col min="3" max="3" width="20"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99</v>
      </c>
      <c r="C3" s="33" t="s">
        <v>2</v>
      </c>
      <c r="D3" s="34" t="s">
        <v>1</v>
      </c>
      <c r="E3" s="34" t="s">
        <v>862</v>
      </c>
      <c r="F3" s="34" t="s">
        <v>863</v>
      </c>
      <c r="G3" s="34" t="s">
        <v>864</v>
      </c>
      <c r="H3" s="35" t="s">
        <v>358</v>
      </c>
    </row>
    <row r="4" spans="2:9" s="25" customFormat="1" ht="9" customHeight="1">
      <c r="B4" s="46"/>
      <c r="C4" s="37"/>
      <c r="D4" s="37"/>
      <c r="E4" s="37"/>
      <c r="F4" s="37"/>
      <c r="G4" s="38"/>
      <c r="H4" s="39"/>
    </row>
    <row r="5" spans="2:9" s="25" customFormat="1" ht="15.75">
      <c r="B5" s="40">
        <v>1</v>
      </c>
      <c r="C5" s="27" t="s">
        <v>2642</v>
      </c>
      <c r="D5" s="69" t="s">
        <v>169</v>
      </c>
      <c r="E5" s="27"/>
      <c r="F5" s="27" t="s">
        <v>866</v>
      </c>
      <c r="G5" s="26"/>
      <c r="H5" s="41"/>
    </row>
    <row r="6" spans="2:9" s="25" customFormat="1" ht="15.75">
      <c r="B6" s="40">
        <f t="shared" ref="B6:B69" si="0">B5+1</f>
        <v>2</v>
      </c>
      <c r="C6" s="27" t="s">
        <v>2642</v>
      </c>
      <c r="D6" s="69" t="s">
        <v>169</v>
      </c>
      <c r="E6" s="27"/>
      <c r="F6" s="27" t="s">
        <v>1728</v>
      </c>
      <c r="G6" s="26"/>
      <c r="H6" s="41"/>
      <c r="I6" s="50"/>
    </row>
    <row r="7" spans="2:9" s="25" customFormat="1" ht="15.75">
      <c r="B7" s="40">
        <f t="shared" si="0"/>
        <v>3</v>
      </c>
      <c r="C7" s="27" t="s">
        <v>2642</v>
      </c>
      <c r="D7" s="69" t="s">
        <v>169</v>
      </c>
      <c r="E7" s="27"/>
      <c r="F7" s="27" t="s">
        <v>1333</v>
      </c>
      <c r="G7" s="27"/>
      <c r="H7" s="42"/>
    </row>
    <row r="8" spans="2:9" s="25" customFormat="1" ht="15.75">
      <c r="B8" s="40">
        <f t="shared" si="0"/>
        <v>4</v>
      </c>
      <c r="C8" s="27" t="s">
        <v>2642</v>
      </c>
      <c r="D8" s="69" t="s">
        <v>169</v>
      </c>
      <c r="E8" s="27"/>
      <c r="F8" s="27" t="s">
        <v>1333</v>
      </c>
      <c r="G8" s="27"/>
      <c r="H8" s="42"/>
    </row>
    <row r="9" spans="2:9" s="25" customFormat="1" ht="15.75">
      <c r="B9" s="40">
        <f t="shared" si="0"/>
        <v>5</v>
      </c>
      <c r="C9" s="27" t="s">
        <v>2642</v>
      </c>
      <c r="D9" s="69" t="s">
        <v>169</v>
      </c>
      <c r="E9" s="27"/>
      <c r="F9" s="27" t="s">
        <v>1333</v>
      </c>
      <c r="G9" s="27"/>
      <c r="H9" s="51"/>
    </row>
    <row r="10" spans="2:9" s="25" customFormat="1" ht="15.75">
      <c r="B10" s="40">
        <f t="shared" si="0"/>
        <v>6</v>
      </c>
      <c r="C10" s="27" t="s">
        <v>2642</v>
      </c>
      <c r="D10" s="69" t="s">
        <v>169</v>
      </c>
      <c r="E10" s="27"/>
      <c r="F10" s="27"/>
      <c r="G10" s="49"/>
      <c r="H10" s="51"/>
    </row>
    <row r="11" spans="2:9" s="25" customFormat="1" ht="9" customHeight="1" thickBot="1">
      <c r="B11" s="56">
        <f t="shared" si="0"/>
        <v>7</v>
      </c>
      <c r="C11" s="54"/>
      <c r="D11" s="54"/>
      <c r="E11" s="54"/>
      <c r="F11" s="54"/>
      <c r="G11" s="54"/>
      <c r="H11" s="55"/>
    </row>
    <row r="12" spans="2:9" s="25" customFormat="1" ht="9" customHeight="1" thickBot="1">
      <c r="B12" s="23">
        <f t="shared" si="0"/>
        <v>8</v>
      </c>
      <c r="C12" s="37"/>
      <c r="D12" s="37"/>
      <c r="E12" s="37"/>
      <c r="F12" s="37"/>
      <c r="G12" s="38"/>
      <c r="H12" s="39"/>
    </row>
    <row r="13" spans="2:9" s="25" customFormat="1" ht="16.5" thickBot="1">
      <c r="B13" s="40">
        <f t="shared" si="0"/>
        <v>9</v>
      </c>
      <c r="C13" s="27" t="s">
        <v>2642</v>
      </c>
      <c r="D13" s="29" t="s">
        <v>292</v>
      </c>
      <c r="E13" s="27" t="s">
        <v>865</v>
      </c>
      <c r="F13" s="27" t="s">
        <v>866</v>
      </c>
      <c r="G13" s="62"/>
      <c r="H13" s="87" t="s">
        <v>2870</v>
      </c>
    </row>
    <row r="14" spans="2:9" s="25" customFormat="1" ht="16.5" thickBot="1">
      <c r="B14" s="40">
        <f t="shared" si="0"/>
        <v>10</v>
      </c>
      <c r="C14" s="27" t="s">
        <v>2642</v>
      </c>
      <c r="D14" s="29" t="s">
        <v>292</v>
      </c>
      <c r="E14" s="27" t="s">
        <v>865</v>
      </c>
      <c r="F14" s="27" t="s">
        <v>1728</v>
      </c>
      <c r="G14" s="26"/>
      <c r="H14" s="88" t="s">
        <v>3990</v>
      </c>
      <c r="I14" s="50" t="s">
        <v>2869</v>
      </c>
    </row>
    <row r="15" spans="2:9" s="25" customFormat="1" ht="16.5" thickBot="1">
      <c r="B15" s="40">
        <f t="shared" si="0"/>
        <v>11</v>
      </c>
      <c r="C15" s="27" t="s">
        <v>2642</v>
      </c>
      <c r="D15" s="29" t="s">
        <v>292</v>
      </c>
      <c r="E15" s="27" t="s">
        <v>865</v>
      </c>
      <c r="F15" s="27" t="s">
        <v>1333</v>
      </c>
      <c r="G15" s="27" t="s">
        <v>870</v>
      </c>
      <c r="H15" s="88" t="s">
        <v>2871</v>
      </c>
    </row>
    <row r="16" spans="2:9" s="25" customFormat="1" ht="16.5" thickBot="1">
      <c r="B16" s="40">
        <f t="shared" si="0"/>
        <v>12</v>
      </c>
      <c r="C16" s="27" t="s">
        <v>2642</v>
      </c>
      <c r="D16" s="29" t="s">
        <v>292</v>
      </c>
      <c r="E16" s="27" t="s">
        <v>865</v>
      </c>
      <c r="F16" s="27" t="s">
        <v>1333</v>
      </c>
      <c r="G16" s="27" t="s">
        <v>874</v>
      </c>
      <c r="H16" s="88" t="s">
        <v>2872</v>
      </c>
    </row>
    <row r="17" spans="2:9" s="25" customFormat="1" ht="9" customHeight="1" thickBot="1">
      <c r="B17" s="23">
        <f t="shared" si="0"/>
        <v>13</v>
      </c>
      <c r="C17" s="57"/>
      <c r="D17" s="57"/>
      <c r="E17" s="57"/>
      <c r="F17" s="57"/>
      <c r="G17" s="57"/>
      <c r="H17" s="94"/>
    </row>
    <row r="18" spans="2:9" s="25" customFormat="1" ht="9" customHeight="1" thickBot="1">
      <c r="B18" s="23">
        <f t="shared" si="0"/>
        <v>14</v>
      </c>
      <c r="C18" s="37"/>
      <c r="D18" s="37"/>
      <c r="E18" s="37"/>
      <c r="F18" s="37"/>
      <c r="G18" s="38"/>
      <c r="H18" s="94"/>
    </row>
    <row r="19" spans="2:9" s="25" customFormat="1" ht="16.5" thickBot="1">
      <c r="B19" s="40">
        <f t="shared" si="0"/>
        <v>15</v>
      </c>
      <c r="C19" s="27" t="s">
        <v>2642</v>
      </c>
      <c r="D19" s="29" t="s">
        <v>293</v>
      </c>
      <c r="E19" s="27" t="s">
        <v>865</v>
      </c>
      <c r="F19" s="27" t="s">
        <v>866</v>
      </c>
      <c r="G19" s="26"/>
      <c r="H19" s="88" t="s">
        <v>2874</v>
      </c>
    </row>
    <row r="20" spans="2:9" s="25" customFormat="1" ht="16.5" thickBot="1">
      <c r="B20" s="40">
        <f t="shared" si="0"/>
        <v>16</v>
      </c>
      <c r="C20" s="27" t="s">
        <v>2642</v>
      </c>
      <c r="D20" s="29" t="s">
        <v>293</v>
      </c>
      <c r="E20" s="27" t="s">
        <v>865</v>
      </c>
      <c r="F20" s="27" t="s">
        <v>1728</v>
      </c>
      <c r="G20" s="26"/>
      <c r="H20" s="88" t="s">
        <v>3991</v>
      </c>
      <c r="I20" s="50" t="s">
        <v>2873</v>
      </c>
    </row>
    <row r="21" spans="2:9" s="25" customFormat="1" ht="16.5" thickBot="1">
      <c r="B21" s="40">
        <f t="shared" si="0"/>
        <v>17</v>
      </c>
      <c r="C21" s="27" t="s">
        <v>2642</v>
      </c>
      <c r="D21" s="29" t="s">
        <v>293</v>
      </c>
      <c r="E21" s="27" t="s">
        <v>865</v>
      </c>
      <c r="F21" s="27" t="s">
        <v>1333</v>
      </c>
      <c r="G21" s="27" t="s">
        <v>921</v>
      </c>
      <c r="H21" s="88" t="s">
        <v>2875</v>
      </c>
    </row>
    <row r="22" spans="2:9" s="25" customFormat="1" ht="16.5" thickBot="1">
      <c r="B22" s="40">
        <f t="shared" si="0"/>
        <v>18</v>
      </c>
      <c r="C22" s="27" t="s">
        <v>2642</v>
      </c>
      <c r="D22" s="29" t="s">
        <v>293</v>
      </c>
      <c r="E22" s="27" t="s">
        <v>865</v>
      </c>
      <c r="F22" s="27" t="s">
        <v>1333</v>
      </c>
      <c r="G22" s="27" t="s">
        <v>923</v>
      </c>
      <c r="H22" s="88" t="s">
        <v>2876</v>
      </c>
    </row>
    <row r="23" spans="2:9" s="25" customFormat="1" ht="16.5" thickBot="1">
      <c r="B23" s="40">
        <f t="shared" si="0"/>
        <v>19</v>
      </c>
      <c r="C23" s="27" t="s">
        <v>2642</v>
      </c>
      <c r="D23" s="29" t="s">
        <v>293</v>
      </c>
      <c r="E23" s="27" t="s">
        <v>865</v>
      </c>
      <c r="F23" s="27" t="s">
        <v>1333</v>
      </c>
      <c r="G23" s="27" t="s">
        <v>989</v>
      </c>
      <c r="H23" s="88" t="s">
        <v>2877</v>
      </c>
    </row>
    <row r="24" spans="2:9" s="25" customFormat="1" ht="16.5" thickBot="1">
      <c r="B24" s="40">
        <f t="shared" si="0"/>
        <v>20</v>
      </c>
      <c r="C24" s="27" t="s">
        <v>2642</v>
      </c>
      <c r="D24" s="29" t="s">
        <v>293</v>
      </c>
      <c r="E24" s="27" t="s">
        <v>865</v>
      </c>
      <c r="F24" s="27" t="s">
        <v>1333</v>
      </c>
      <c r="G24" s="27" t="s">
        <v>992</v>
      </c>
      <c r="H24" s="88" t="s">
        <v>2877</v>
      </c>
    </row>
    <row r="25" spans="2:9" s="25" customFormat="1" ht="16.5" thickBot="1">
      <c r="B25" s="40">
        <f t="shared" si="0"/>
        <v>21</v>
      </c>
      <c r="C25" s="27" t="s">
        <v>2642</v>
      </c>
      <c r="D25" s="29" t="s">
        <v>293</v>
      </c>
      <c r="E25" s="27" t="s">
        <v>865</v>
      </c>
      <c r="F25" s="27"/>
      <c r="G25" s="49" t="s">
        <v>2878</v>
      </c>
      <c r="H25" s="101" t="s">
        <v>3672</v>
      </c>
    </row>
    <row r="26" spans="2:9" s="25" customFormat="1" ht="16.5" thickBot="1">
      <c r="B26" s="40">
        <f t="shared" si="0"/>
        <v>22</v>
      </c>
      <c r="C26" s="27" t="s">
        <v>2642</v>
      </c>
      <c r="D26" s="71" t="s">
        <v>293</v>
      </c>
      <c r="E26" s="27" t="s">
        <v>880</v>
      </c>
      <c r="F26" s="49" t="s">
        <v>1780</v>
      </c>
      <c r="G26" s="49" t="s">
        <v>2943</v>
      </c>
      <c r="H26" s="116" t="s">
        <v>2879</v>
      </c>
    </row>
    <row r="27" spans="2:9" s="25" customFormat="1" ht="9" customHeight="1" thickBot="1">
      <c r="B27" s="23">
        <f t="shared" si="0"/>
        <v>23</v>
      </c>
      <c r="C27" s="43"/>
      <c r="D27" s="43"/>
      <c r="E27" s="43"/>
      <c r="F27" s="43"/>
      <c r="G27" s="43"/>
      <c r="H27" s="96"/>
    </row>
    <row r="28" spans="2:9" s="25" customFormat="1" ht="9" customHeight="1" thickBot="1">
      <c r="B28" s="23">
        <f t="shared" si="0"/>
        <v>24</v>
      </c>
      <c r="C28" s="37"/>
      <c r="D28" s="37"/>
      <c r="E28" s="37"/>
      <c r="F28" s="37"/>
      <c r="G28" s="38"/>
      <c r="H28" s="94"/>
    </row>
    <row r="29" spans="2:9" s="25" customFormat="1" ht="16.5" thickBot="1">
      <c r="B29" s="40">
        <f t="shared" si="0"/>
        <v>25</v>
      </c>
      <c r="C29" s="27" t="s">
        <v>2642</v>
      </c>
      <c r="D29" s="69" t="s">
        <v>180</v>
      </c>
      <c r="E29" s="27"/>
      <c r="F29" s="27" t="s">
        <v>866</v>
      </c>
      <c r="G29" s="26"/>
      <c r="H29" s="88"/>
    </row>
    <row r="30" spans="2:9" s="25" customFormat="1" ht="16.5" thickBot="1">
      <c r="B30" s="40">
        <f t="shared" si="0"/>
        <v>26</v>
      </c>
      <c r="C30" s="27" t="s">
        <v>2642</v>
      </c>
      <c r="D30" s="69" t="s">
        <v>180</v>
      </c>
      <c r="E30" s="27"/>
      <c r="F30" s="27" t="s">
        <v>1728</v>
      </c>
      <c r="G30" s="26"/>
      <c r="H30" s="89"/>
      <c r="I30" s="50"/>
    </row>
    <row r="31" spans="2:9" s="25" customFormat="1" ht="16.5" thickBot="1">
      <c r="B31" s="40">
        <f t="shared" si="0"/>
        <v>27</v>
      </c>
      <c r="C31" s="27" t="s">
        <v>2642</v>
      </c>
      <c r="D31" s="69" t="s">
        <v>180</v>
      </c>
      <c r="E31" s="27"/>
      <c r="F31" s="27" t="s">
        <v>1333</v>
      </c>
      <c r="G31" s="27"/>
      <c r="H31" s="89"/>
    </row>
    <row r="32" spans="2:9" s="25" customFormat="1" ht="16.5" thickBot="1">
      <c r="B32" s="40">
        <f t="shared" si="0"/>
        <v>28</v>
      </c>
      <c r="C32" s="27" t="s">
        <v>2642</v>
      </c>
      <c r="D32" s="69" t="s">
        <v>180</v>
      </c>
      <c r="E32" s="27"/>
      <c r="F32" s="27" t="s">
        <v>1333</v>
      </c>
      <c r="G32" s="27"/>
      <c r="H32" s="89"/>
    </row>
    <row r="33" spans="2:9" s="25" customFormat="1" ht="16.5" thickBot="1">
      <c r="B33" s="40">
        <f t="shared" si="0"/>
        <v>29</v>
      </c>
      <c r="C33" s="27" t="s">
        <v>2642</v>
      </c>
      <c r="D33" s="69" t="s">
        <v>180</v>
      </c>
      <c r="E33" s="27"/>
      <c r="F33" s="27" t="s">
        <v>1333</v>
      </c>
      <c r="G33" s="27"/>
      <c r="H33" s="89"/>
    </row>
    <row r="34" spans="2:9" s="25" customFormat="1" ht="16.5" thickBot="1">
      <c r="B34" s="40">
        <f t="shared" si="0"/>
        <v>30</v>
      </c>
      <c r="C34" s="27" t="s">
        <v>2642</v>
      </c>
      <c r="D34" s="69" t="s">
        <v>180</v>
      </c>
      <c r="E34" s="27"/>
      <c r="F34" s="27"/>
      <c r="G34" s="27"/>
      <c r="H34" s="89"/>
    </row>
    <row r="35" spans="2:9" s="25" customFormat="1" ht="9" customHeight="1" thickBot="1">
      <c r="B35" s="23">
        <f t="shared" si="0"/>
        <v>31</v>
      </c>
      <c r="C35" s="43"/>
      <c r="D35" s="43"/>
      <c r="E35" s="43"/>
      <c r="F35" s="43"/>
      <c r="G35" s="43"/>
      <c r="H35" s="94"/>
    </row>
    <row r="36" spans="2:9" s="25" customFormat="1" ht="9" customHeight="1" thickBot="1">
      <c r="B36" s="23">
        <f t="shared" si="0"/>
        <v>32</v>
      </c>
      <c r="C36" s="37"/>
      <c r="D36" s="37"/>
      <c r="E36" s="37"/>
      <c r="F36" s="37"/>
      <c r="G36" s="38"/>
      <c r="H36" s="94"/>
    </row>
    <row r="37" spans="2:9" s="25" customFormat="1" ht="16.5" thickBot="1">
      <c r="B37" s="40">
        <f t="shared" si="0"/>
        <v>33</v>
      </c>
      <c r="C37" s="27" t="s">
        <v>2642</v>
      </c>
      <c r="D37" s="29" t="s">
        <v>294</v>
      </c>
      <c r="E37" s="27" t="s">
        <v>865</v>
      </c>
      <c r="F37" s="27" t="s">
        <v>866</v>
      </c>
      <c r="G37" s="26"/>
      <c r="H37" s="88" t="s">
        <v>3992</v>
      </c>
    </row>
    <row r="38" spans="2:9" s="25" customFormat="1" ht="16.5" thickBot="1">
      <c r="B38" s="40">
        <f t="shared" si="0"/>
        <v>34</v>
      </c>
      <c r="C38" s="27" t="s">
        <v>2642</v>
      </c>
      <c r="D38" s="29" t="s">
        <v>294</v>
      </c>
      <c r="E38" s="27" t="s">
        <v>865</v>
      </c>
      <c r="F38" s="27" t="s">
        <v>1728</v>
      </c>
      <c r="G38" s="26"/>
      <c r="H38" s="88" t="s">
        <v>3993</v>
      </c>
      <c r="I38" s="50" t="s">
        <v>2880</v>
      </c>
    </row>
    <row r="39" spans="2:9" s="25" customFormat="1" ht="16.5" thickBot="1">
      <c r="B39" s="40">
        <f t="shared" si="0"/>
        <v>35</v>
      </c>
      <c r="C39" s="27" t="s">
        <v>2642</v>
      </c>
      <c r="D39" s="29" t="s">
        <v>294</v>
      </c>
      <c r="E39" s="27" t="s">
        <v>865</v>
      </c>
      <c r="F39" s="27" t="s">
        <v>1333</v>
      </c>
      <c r="G39" s="27" t="s">
        <v>921</v>
      </c>
      <c r="H39" s="89" t="s">
        <v>2881</v>
      </c>
    </row>
    <row r="40" spans="2:9" s="25" customFormat="1" ht="16.5" thickBot="1">
      <c r="B40" s="40">
        <f t="shared" si="0"/>
        <v>36</v>
      </c>
      <c r="C40" s="27" t="s">
        <v>2642</v>
      </c>
      <c r="D40" s="29" t="s">
        <v>294</v>
      </c>
      <c r="E40" s="27" t="s">
        <v>865</v>
      </c>
      <c r="F40" s="27" t="s">
        <v>1333</v>
      </c>
      <c r="G40" s="27" t="s">
        <v>2883</v>
      </c>
      <c r="H40" s="89" t="s">
        <v>2882</v>
      </c>
    </row>
    <row r="41" spans="2:9" s="25" customFormat="1" ht="16.5" thickBot="1">
      <c r="B41" s="40">
        <f t="shared" si="0"/>
        <v>37</v>
      </c>
      <c r="C41" s="27" t="s">
        <v>2642</v>
      </c>
      <c r="D41" s="29" t="s">
        <v>294</v>
      </c>
      <c r="E41" s="27" t="s">
        <v>865</v>
      </c>
      <c r="F41" s="27" t="s">
        <v>1333</v>
      </c>
      <c r="G41" s="49" t="s">
        <v>989</v>
      </c>
      <c r="H41" s="90" t="s">
        <v>2884</v>
      </c>
    </row>
    <row r="42" spans="2:9" s="25" customFormat="1" ht="16.5" thickBot="1">
      <c r="B42" s="40">
        <f t="shared" si="0"/>
        <v>38</v>
      </c>
      <c r="C42" s="27" t="s">
        <v>2642</v>
      </c>
      <c r="D42" s="29" t="s">
        <v>294</v>
      </c>
      <c r="E42" s="27" t="s">
        <v>865</v>
      </c>
      <c r="F42" s="27" t="s">
        <v>1333</v>
      </c>
      <c r="G42" s="49" t="s">
        <v>992</v>
      </c>
      <c r="H42" s="95" t="s">
        <v>2885</v>
      </c>
    </row>
    <row r="43" spans="2:9" s="25" customFormat="1" ht="9" customHeight="1" thickBot="1">
      <c r="B43" s="23">
        <f t="shared" si="0"/>
        <v>39</v>
      </c>
      <c r="C43" s="43"/>
      <c r="D43" s="43"/>
      <c r="E43" s="43"/>
      <c r="F43" s="43"/>
      <c r="G43" s="43"/>
      <c r="H43" s="96"/>
    </row>
    <row r="44" spans="2:9" s="25" customFormat="1" ht="9" customHeight="1" thickBot="1">
      <c r="B44" s="23">
        <f t="shared" si="0"/>
        <v>40</v>
      </c>
      <c r="C44" s="37"/>
      <c r="D44" s="37"/>
      <c r="E44" s="37"/>
      <c r="F44" s="37"/>
      <c r="G44" s="38"/>
      <c r="H44" s="94"/>
    </row>
    <row r="45" spans="2:9" s="25" customFormat="1" ht="16.5" thickBot="1">
      <c r="B45" s="40">
        <f t="shared" si="0"/>
        <v>41</v>
      </c>
      <c r="C45" s="27" t="s">
        <v>2642</v>
      </c>
      <c r="D45" s="69" t="s">
        <v>181</v>
      </c>
      <c r="E45" s="27"/>
      <c r="F45" s="27" t="s">
        <v>866</v>
      </c>
      <c r="G45" s="26"/>
      <c r="H45" s="88"/>
    </row>
    <row r="46" spans="2:9" s="25" customFormat="1" ht="16.5" thickBot="1">
      <c r="B46" s="40">
        <f t="shared" si="0"/>
        <v>42</v>
      </c>
      <c r="C46" s="27" t="s">
        <v>2642</v>
      </c>
      <c r="D46" s="69" t="s">
        <v>181</v>
      </c>
      <c r="E46" s="27"/>
      <c r="F46" s="27" t="s">
        <v>1728</v>
      </c>
      <c r="G46" s="26"/>
      <c r="H46" s="88"/>
      <c r="I46" s="50"/>
    </row>
    <row r="47" spans="2:9" s="25" customFormat="1" ht="16.5" thickBot="1">
      <c r="B47" s="40">
        <f t="shared" si="0"/>
        <v>43</v>
      </c>
      <c r="C47" s="27" t="s">
        <v>2642</v>
      </c>
      <c r="D47" s="69" t="s">
        <v>181</v>
      </c>
      <c r="E47" s="27"/>
      <c r="F47" s="27" t="s">
        <v>1333</v>
      </c>
      <c r="G47" s="27"/>
      <c r="H47" s="89"/>
    </row>
    <row r="48" spans="2:9" s="25" customFormat="1" ht="16.5" thickBot="1">
      <c r="B48" s="40">
        <f t="shared" si="0"/>
        <v>44</v>
      </c>
      <c r="C48" s="27" t="s">
        <v>2642</v>
      </c>
      <c r="D48" s="69" t="s">
        <v>181</v>
      </c>
      <c r="E48" s="27"/>
      <c r="F48" s="27" t="s">
        <v>1333</v>
      </c>
      <c r="G48" s="27"/>
      <c r="H48" s="89"/>
    </row>
    <row r="49" spans="2:9" s="25" customFormat="1" ht="16.5" thickBot="1">
      <c r="B49" s="40">
        <f t="shared" si="0"/>
        <v>45</v>
      </c>
      <c r="C49" s="27" t="s">
        <v>2642</v>
      </c>
      <c r="D49" s="69" t="s">
        <v>181</v>
      </c>
      <c r="E49" s="27"/>
      <c r="F49" s="27" t="s">
        <v>1333</v>
      </c>
      <c r="G49" s="27"/>
      <c r="H49" s="89"/>
    </row>
    <row r="50" spans="2:9" s="25" customFormat="1" ht="16.5" thickBot="1">
      <c r="B50" s="40">
        <f t="shared" si="0"/>
        <v>46</v>
      </c>
      <c r="C50" s="27" t="s">
        <v>2642</v>
      </c>
      <c r="D50" s="69" t="s">
        <v>181</v>
      </c>
      <c r="E50" s="27"/>
      <c r="F50" s="27"/>
      <c r="G50" s="27"/>
      <c r="H50" s="89"/>
    </row>
    <row r="51" spans="2:9" s="25" customFormat="1" ht="9" customHeight="1" thickBot="1">
      <c r="B51" s="23">
        <f t="shared" si="0"/>
        <v>47</v>
      </c>
      <c r="C51" s="43"/>
      <c r="D51" s="43"/>
      <c r="E51" s="43"/>
      <c r="F51" s="43"/>
      <c r="G51" s="43"/>
      <c r="H51" s="94"/>
    </row>
    <row r="52" spans="2:9" s="25" customFormat="1" ht="9" customHeight="1" thickBot="1">
      <c r="B52" s="23">
        <f t="shared" si="0"/>
        <v>48</v>
      </c>
      <c r="C52" s="37"/>
      <c r="D52" s="37"/>
      <c r="E52" s="37"/>
      <c r="F52" s="37"/>
      <c r="G52" s="38"/>
      <c r="H52" s="94"/>
    </row>
    <row r="53" spans="2:9" s="25" customFormat="1" ht="16.5" thickBot="1">
      <c r="B53" s="40">
        <f t="shared" si="0"/>
        <v>49</v>
      </c>
      <c r="C53" s="27" t="s">
        <v>2642</v>
      </c>
      <c r="D53" s="69" t="s">
        <v>256</v>
      </c>
      <c r="E53" s="27"/>
      <c r="F53" s="27" t="s">
        <v>866</v>
      </c>
      <c r="G53" s="26"/>
      <c r="H53" s="88"/>
    </row>
    <row r="54" spans="2:9" s="25" customFormat="1" ht="16.5" thickBot="1">
      <c r="B54" s="40">
        <f t="shared" si="0"/>
        <v>50</v>
      </c>
      <c r="C54" s="27" t="s">
        <v>2642</v>
      </c>
      <c r="D54" s="69" t="s">
        <v>256</v>
      </c>
      <c r="E54" s="27"/>
      <c r="F54" s="27" t="s">
        <v>1728</v>
      </c>
      <c r="G54" s="26"/>
      <c r="H54" s="88"/>
      <c r="I54" s="50"/>
    </row>
    <row r="55" spans="2:9" s="25" customFormat="1" ht="16.5" thickBot="1">
      <c r="B55" s="40">
        <f t="shared" si="0"/>
        <v>51</v>
      </c>
      <c r="C55" s="27" t="s">
        <v>2642</v>
      </c>
      <c r="D55" s="69" t="s">
        <v>256</v>
      </c>
      <c r="E55" s="27"/>
      <c r="F55" s="27" t="s">
        <v>1333</v>
      </c>
      <c r="G55" s="27"/>
      <c r="H55" s="89"/>
    </row>
    <row r="56" spans="2:9" s="25" customFormat="1" ht="16.5" thickBot="1">
      <c r="B56" s="40">
        <f t="shared" si="0"/>
        <v>52</v>
      </c>
      <c r="C56" s="27" t="s">
        <v>2642</v>
      </c>
      <c r="D56" s="69" t="s">
        <v>256</v>
      </c>
      <c r="E56" s="27"/>
      <c r="F56" s="27" t="s">
        <v>1333</v>
      </c>
      <c r="G56" s="27"/>
      <c r="H56" s="89"/>
    </row>
    <row r="57" spans="2:9" s="25" customFormat="1" ht="16.5" thickBot="1">
      <c r="B57" s="40">
        <f t="shared" si="0"/>
        <v>53</v>
      </c>
      <c r="C57" s="27" t="s">
        <v>2642</v>
      </c>
      <c r="D57" s="69" t="s">
        <v>256</v>
      </c>
      <c r="E57" s="27"/>
      <c r="F57" s="27" t="s">
        <v>1333</v>
      </c>
      <c r="G57" s="27"/>
      <c r="H57" s="89"/>
    </row>
    <row r="58" spans="2:9" s="25" customFormat="1" ht="16.5" thickBot="1">
      <c r="B58" s="40">
        <f t="shared" si="0"/>
        <v>54</v>
      </c>
      <c r="C58" s="27" t="s">
        <v>2642</v>
      </c>
      <c r="D58" s="69" t="s">
        <v>256</v>
      </c>
      <c r="E58" s="27"/>
      <c r="F58" s="27"/>
      <c r="G58" s="27"/>
      <c r="H58" s="89"/>
    </row>
    <row r="59" spans="2:9" s="25" customFormat="1" ht="9" customHeight="1" thickBot="1">
      <c r="B59" s="23">
        <f t="shared" si="0"/>
        <v>55</v>
      </c>
      <c r="C59" s="43"/>
      <c r="D59" s="43"/>
      <c r="E59" s="43"/>
      <c r="F59" s="43"/>
      <c r="G59" s="43"/>
      <c r="H59" s="94"/>
    </row>
    <row r="60" spans="2:9" s="25" customFormat="1" ht="9" customHeight="1" thickBot="1">
      <c r="B60" s="23">
        <f t="shared" si="0"/>
        <v>56</v>
      </c>
      <c r="C60" s="37"/>
      <c r="D60" s="37"/>
      <c r="E60" s="37"/>
      <c r="F60" s="37"/>
      <c r="G60" s="38"/>
      <c r="H60" s="94"/>
    </row>
    <row r="61" spans="2:9" s="25" customFormat="1" ht="16.5" thickBot="1">
      <c r="B61" s="40">
        <f t="shared" si="0"/>
        <v>57</v>
      </c>
      <c r="C61" s="27" t="s">
        <v>2642</v>
      </c>
      <c r="D61" s="29" t="s">
        <v>295</v>
      </c>
      <c r="E61" s="27" t="s">
        <v>865</v>
      </c>
      <c r="F61" s="27" t="s">
        <v>866</v>
      </c>
      <c r="G61" s="26"/>
      <c r="H61" s="88" t="s">
        <v>2894</v>
      </c>
    </row>
    <row r="62" spans="2:9" s="25" customFormat="1" ht="16.5" thickBot="1">
      <c r="B62" s="40">
        <f t="shared" si="0"/>
        <v>58</v>
      </c>
      <c r="C62" s="27" t="s">
        <v>2642</v>
      </c>
      <c r="D62" s="29" t="s">
        <v>295</v>
      </c>
      <c r="E62" s="27" t="s">
        <v>865</v>
      </c>
      <c r="F62" s="27" t="s">
        <v>1728</v>
      </c>
      <c r="G62" s="26"/>
      <c r="H62" s="88" t="s">
        <v>2886</v>
      </c>
      <c r="I62" s="50" t="s">
        <v>2887</v>
      </c>
    </row>
    <row r="63" spans="2:9" s="25" customFormat="1" ht="16.5" thickBot="1">
      <c r="B63" s="40">
        <f t="shared" si="0"/>
        <v>59</v>
      </c>
      <c r="C63" s="27" t="s">
        <v>2642</v>
      </c>
      <c r="D63" s="29" t="s">
        <v>295</v>
      </c>
      <c r="E63" s="27" t="s">
        <v>865</v>
      </c>
      <c r="F63" s="27" t="s">
        <v>1333</v>
      </c>
      <c r="G63" s="27" t="s">
        <v>921</v>
      </c>
      <c r="H63" s="89" t="s">
        <v>2888</v>
      </c>
    </row>
    <row r="64" spans="2:9" s="25" customFormat="1" ht="16.5" thickBot="1">
      <c r="B64" s="40">
        <f t="shared" si="0"/>
        <v>60</v>
      </c>
      <c r="C64" s="27" t="s">
        <v>2642</v>
      </c>
      <c r="D64" s="29" t="s">
        <v>295</v>
      </c>
      <c r="E64" s="27" t="s">
        <v>865</v>
      </c>
      <c r="F64" s="27" t="s">
        <v>1333</v>
      </c>
      <c r="G64" s="27" t="s">
        <v>923</v>
      </c>
      <c r="H64" s="89" t="s">
        <v>2889</v>
      </c>
    </row>
    <row r="65" spans="2:9" s="25" customFormat="1" ht="16.5" thickBot="1">
      <c r="B65" s="40">
        <f t="shared" si="0"/>
        <v>61</v>
      </c>
      <c r="C65" s="27" t="s">
        <v>2642</v>
      </c>
      <c r="D65" s="29" t="s">
        <v>295</v>
      </c>
      <c r="E65" s="27" t="s">
        <v>865</v>
      </c>
      <c r="F65" s="27"/>
      <c r="G65" s="27" t="s">
        <v>2890</v>
      </c>
      <c r="H65" s="89" t="s">
        <v>3666</v>
      </c>
    </row>
    <row r="66" spans="2:9" s="25" customFormat="1" ht="32.25" thickBot="1">
      <c r="B66" s="40">
        <f t="shared" si="0"/>
        <v>62</v>
      </c>
      <c r="C66" s="27" t="s">
        <v>2642</v>
      </c>
      <c r="D66" s="29" t="s">
        <v>295</v>
      </c>
      <c r="E66" s="27" t="s">
        <v>865</v>
      </c>
      <c r="F66" s="68"/>
      <c r="G66" s="27" t="s">
        <v>2891</v>
      </c>
      <c r="H66" s="89" t="s">
        <v>3667</v>
      </c>
    </row>
    <row r="67" spans="2:9" s="25" customFormat="1" ht="9" customHeight="1" thickBot="1">
      <c r="B67" s="23">
        <f t="shared" si="0"/>
        <v>63</v>
      </c>
      <c r="C67" s="43"/>
      <c r="D67" s="43"/>
      <c r="E67" s="43"/>
      <c r="F67" s="43"/>
      <c r="G67" s="43"/>
      <c r="H67" s="94"/>
    </row>
    <row r="68" spans="2:9" s="25" customFormat="1" ht="9" customHeight="1" thickBot="1">
      <c r="B68" s="23">
        <f t="shared" si="0"/>
        <v>64</v>
      </c>
      <c r="C68" s="37"/>
      <c r="D68" s="37"/>
      <c r="E68" s="37"/>
      <c r="F68" s="37"/>
      <c r="G68" s="38"/>
      <c r="H68" s="94"/>
    </row>
    <row r="69" spans="2:9" s="25" customFormat="1" ht="16.5" thickBot="1">
      <c r="B69" s="40">
        <f t="shared" si="0"/>
        <v>65</v>
      </c>
      <c r="C69" s="27" t="s">
        <v>2642</v>
      </c>
      <c r="D69" s="71" t="s">
        <v>296</v>
      </c>
      <c r="E69" s="27" t="s">
        <v>865</v>
      </c>
      <c r="F69" s="27" t="s">
        <v>866</v>
      </c>
      <c r="G69" s="26"/>
      <c r="H69" s="89" t="s">
        <v>2893</v>
      </c>
    </row>
    <row r="70" spans="2:9" s="25" customFormat="1" ht="16.5" thickBot="1">
      <c r="B70" s="40">
        <f t="shared" ref="B70:B103" si="1">B69+1</f>
        <v>66</v>
      </c>
      <c r="C70" s="27" t="s">
        <v>2642</v>
      </c>
      <c r="D70" s="71" t="s">
        <v>296</v>
      </c>
      <c r="E70" s="27" t="s">
        <v>865</v>
      </c>
      <c r="F70" s="27" t="s">
        <v>1728</v>
      </c>
      <c r="G70" s="26"/>
      <c r="H70" s="88" t="s">
        <v>3994</v>
      </c>
      <c r="I70" s="50" t="s">
        <v>2892</v>
      </c>
    </row>
    <row r="71" spans="2:9" s="25" customFormat="1" ht="16.5" thickBot="1">
      <c r="B71" s="40">
        <f t="shared" si="1"/>
        <v>67</v>
      </c>
      <c r="C71" s="27" t="s">
        <v>2642</v>
      </c>
      <c r="D71" s="71" t="s">
        <v>296</v>
      </c>
      <c r="E71" s="27" t="s">
        <v>865</v>
      </c>
      <c r="F71" s="27" t="s">
        <v>1333</v>
      </c>
      <c r="G71" s="27" t="s">
        <v>870</v>
      </c>
      <c r="H71" s="89" t="s">
        <v>2895</v>
      </c>
    </row>
    <row r="72" spans="2:9" s="25" customFormat="1" ht="16.5" thickBot="1">
      <c r="B72" s="40">
        <f t="shared" si="1"/>
        <v>68</v>
      </c>
      <c r="C72" s="27" t="s">
        <v>2642</v>
      </c>
      <c r="D72" s="71" t="s">
        <v>296</v>
      </c>
      <c r="E72" s="27" t="s">
        <v>865</v>
      </c>
      <c r="F72" s="27" t="s">
        <v>1333</v>
      </c>
      <c r="G72" s="27" t="s">
        <v>874</v>
      </c>
      <c r="H72" s="89" t="s">
        <v>2896</v>
      </c>
    </row>
    <row r="73" spans="2:9" s="25" customFormat="1" ht="32.25" thickBot="1">
      <c r="B73" s="40">
        <f t="shared" si="1"/>
        <v>69</v>
      </c>
      <c r="C73" s="27" t="s">
        <v>2642</v>
      </c>
      <c r="D73" s="82" t="s">
        <v>296</v>
      </c>
      <c r="E73" s="27" t="s">
        <v>865</v>
      </c>
      <c r="F73" s="27"/>
      <c r="G73" s="27" t="s">
        <v>2891</v>
      </c>
      <c r="H73" s="89" t="s">
        <v>3667</v>
      </c>
    </row>
    <row r="74" spans="2:9" s="25" customFormat="1" ht="32.25" thickBot="1">
      <c r="B74" s="40">
        <f t="shared" si="1"/>
        <v>70</v>
      </c>
      <c r="C74" s="27" t="s">
        <v>2642</v>
      </c>
      <c r="D74" s="82" t="s">
        <v>296</v>
      </c>
      <c r="E74" s="27" t="s">
        <v>865</v>
      </c>
      <c r="F74" s="27"/>
      <c r="G74" s="27" t="s">
        <v>2897</v>
      </c>
      <c r="H74" s="89" t="s">
        <v>3668</v>
      </c>
    </row>
    <row r="75" spans="2:9" s="25" customFormat="1" ht="32.25" thickBot="1">
      <c r="B75" s="40">
        <f t="shared" si="1"/>
        <v>71</v>
      </c>
      <c r="C75" s="27" t="s">
        <v>2642</v>
      </c>
      <c r="D75" s="71" t="s">
        <v>296</v>
      </c>
      <c r="E75" s="27" t="s">
        <v>865</v>
      </c>
      <c r="F75" s="27"/>
      <c r="G75" s="27" t="s">
        <v>2898</v>
      </c>
      <c r="H75" s="89" t="s">
        <v>3995</v>
      </c>
    </row>
    <row r="76" spans="2:9" s="25" customFormat="1" ht="32.25" thickBot="1">
      <c r="B76" s="40">
        <f t="shared" si="1"/>
        <v>72</v>
      </c>
      <c r="C76" s="27" t="s">
        <v>2642</v>
      </c>
      <c r="D76" s="71" t="s">
        <v>296</v>
      </c>
      <c r="E76" s="27" t="s">
        <v>865</v>
      </c>
      <c r="F76" s="27"/>
      <c r="G76" s="27" t="s">
        <v>3669</v>
      </c>
      <c r="H76" s="89" t="s">
        <v>3996</v>
      </c>
    </row>
    <row r="77" spans="2:9" s="25" customFormat="1" ht="48" thickBot="1">
      <c r="B77" s="40">
        <f t="shared" si="1"/>
        <v>73</v>
      </c>
      <c r="C77" s="27" t="s">
        <v>2642</v>
      </c>
      <c r="D77" s="71" t="s">
        <v>296</v>
      </c>
      <c r="E77" s="27" t="s">
        <v>865</v>
      </c>
      <c r="F77" s="27"/>
      <c r="G77" s="27" t="s">
        <v>3670</v>
      </c>
      <c r="H77" s="89" t="s">
        <v>3671</v>
      </c>
    </row>
    <row r="78" spans="2:9" s="25" customFormat="1" ht="9" customHeight="1" thickBot="1">
      <c r="B78" s="23">
        <f>B77+1</f>
        <v>74</v>
      </c>
      <c r="C78" s="43"/>
      <c r="D78" s="43"/>
      <c r="E78" s="43"/>
      <c r="F78" s="43"/>
      <c r="G78" s="43"/>
      <c r="H78" s="94"/>
    </row>
    <row r="79" spans="2:9" s="25" customFormat="1" ht="9" customHeight="1" thickBot="1">
      <c r="B79" s="23">
        <f t="shared" si="1"/>
        <v>75</v>
      </c>
      <c r="C79" s="37"/>
      <c r="D79" s="37"/>
      <c r="E79" s="37"/>
      <c r="F79" s="37"/>
      <c r="G79" s="38"/>
      <c r="H79" s="94"/>
    </row>
    <row r="80" spans="2:9" s="25" customFormat="1" ht="16.5" thickBot="1">
      <c r="B80" s="40">
        <f t="shared" si="1"/>
        <v>76</v>
      </c>
      <c r="C80" s="27" t="s">
        <v>2642</v>
      </c>
      <c r="D80" s="29" t="s">
        <v>297</v>
      </c>
      <c r="E80" s="27" t="s">
        <v>865</v>
      </c>
      <c r="F80" s="27" t="s">
        <v>866</v>
      </c>
      <c r="G80" s="26"/>
      <c r="H80" s="88" t="s">
        <v>2901</v>
      </c>
    </row>
    <row r="81" spans="2:9" s="25" customFormat="1" ht="16.5" thickBot="1">
      <c r="B81" s="40">
        <f t="shared" si="1"/>
        <v>77</v>
      </c>
      <c r="C81" s="27" t="s">
        <v>2642</v>
      </c>
      <c r="D81" s="29" t="s">
        <v>297</v>
      </c>
      <c r="E81" s="27" t="s">
        <v>865</v>
      </c>
      <c r="F81" s="27" t="s">
        <v>1728</v>
      </c>
      <c r="G81" s="26"/>
      <c r="H81" s="88" t="s">
        <v>3997</v>
      </c>
      <c r="I81" s="50" t="s">
        <v>2900</v>
      </c>
    </row>
    <row r="82" spans="2:9" s="25" customFormat="1" ht="16.5" thickBot="1">
      <c r="B82" s="40">
        <f t="shared" si="1"/>
        <v>78</v>
      </c>
      <c r="C82" s="27" t="s">
        <v>2642</v>
      </c>
      <c r="D82" s="29" t="s">
        <v>297</v>
      </c>
      <c r="E82" s="27" t="s">
        <v>865</v>
      </c>
      <c r="F82" s="27" t="s">
        <v>1333</v>
      </c>
      <c r="G82" s="27" t="s">
        <v>870</v>
      </c>
      <c r="H82" s="89" t="s">
        <v>2902</v>
      </c>
    </row>
    <row r="83" spans="2:9" s="25" customFormat="1" ht="16.5" thickBot="1">
      <c r="B83" s="40">
        <f t="shared" si="1"/>
        <v>79</v>
      </c>
      <c r="C83" s="27" t="s">
        <v>2642</v>
      </c>
      <c r="D83" s="29" t="s">
        <v>297</v>
      </c>
      <c r="E83" s="27" t="s">
        <v>865</v>
      </c>
      <c r="F83" s="27" t="s">
        <v>1333</v>
      </c>
      <c r="G83" s="27" t="s">
        <v>874</v>
      </c>
      <c r="H83" s="89" t="s">
        <v>2896</v>
      </c>
    </row>
    <row r="84" spans="2:9" s="25" customFormat="1" ht="32.25" thickBot="1">
      <c r="B84" s="40">
        <f t="shared" si="1"/>
        <v>80</v>
      </c>
      <c r="C84" s="27" t="s">
        <v>2642</v>
      </c>
      <c r="D84" s="29" t="s">
        <v>297</v>
      </c>
      <c r="E84" s="27" t="s">
        <v>865</v>
      </c>
      <c r="F84" s="27"/>
      <c r="G84" s="27" t="s">
        <v>2891</v>
      </c>
      <c r="H84" s="89" t="s">
        <v>3667</v>
      </c>
    </row>
    <row r="85" spans="2:9" s="25" customFormat="1" ht="32.25" thickBot="1">
      <c r="B85" s="40">
        <f t="shared" si="1"/>
        <v>81</v>
      </c>
      <c r="C85" s="27" t="s">
        <v>2642</v>
      </c>
      <c r="D85" s="29" t="s">
        <v>297</v>
      </c>
      <c r="E85" s="27" t="s">
        <v>865</v>
      </c>
      <c r="F85" s="27"/>
      <c r="G85" s="27" t="s">
        <v>2899</v>
      </c>
      <c r="H85" s="89" t="s">
        <v>3996</v>
      </c>
    </row>
    <row r="86" spans="2:9" s="25" customFormat="1" ht="48" thickBot="1">
      <c r="B86" s="40">
        <f t="shared" si="1"/>
        <v>82</v>
      </c>
      <c r="C86" s="27" t="s">
        <v>2642</v>
      </c>
      <c r="D86" s="29" t="s">
        <v>297</v>
      </c>
      <c r="E86" s="27" t="s">
        <v>865</v>
      </c>
      <c r="F86" s="27"/>
      <c r="G86" s="27" t="s">
        <v>2903</v>
      </c>
      <c r="H86" s="89" t="s">
        <v>3671</v>
      </c>
    </row>
    <row r="87" spans="2:9" s="25" customFormat="1" ht="9" customHeight="1" thickBot="1">
      <c r="B87" s="23">
        <f t="shared" si="1"/>
        <v>83</v>
      </c>
      <c r="C87" s="43"/>
      <c r="D87" s="43"/>
      <c r="E87" s="43"/>
      <c r="F87" s="43"/>
      <c r="G87" s="43"/>
      <c r="H87" s="94"/>
    </row>
    <row r="88" spans="2:9" s="25" customFormat="1" ht="9" customHeight="1" thickBot="1">
      <c r="B88" s="23">
        <f t="shared" si="1"/>
        <v>84</v>
      </c>
      <c r="C88" s="37"/>
      <c r="D88" s="37"/>
      <c r="E88" s="37"/>
      <c r="F88" s="37"/>
      <c r="G88" s="38"/>
      <c r="H88" s="94"/>
    </row>
    <row r="89" spans="2:9" s="25" customFormat="1" ht="16.5" thickBot="1">
      <c r="B89" s="40">
        <f t="shared" si="1"/>
        <v>85</v>
      </c>
      <c r="C89" s="27" t="s">
        <v>2642</v>
      </c>
      <c r="D89" s="29" t="s">
        <v>298</v>
      </c>
      <c r="E89" s="27" t="s">
        <v>865</v>
      </c>
      <c r="F89" s="27" t="s">
        <v>866</v>
      </c>
      <c r="G89" s="26"/>
      <c r="H89" s="88" t="s">
        <v>2904</v>
      </c>
    </row>
    <row r="90" spans="2:9" s="25" customFormat="1" ht="16.5" thickBot="1">
      <c r="B90" s="40">
        <f t="shared" si="1"/>
        <v>86</v>
      </c>
      <c r="C90" s="27" t="s">
        <v>2642</v>
      </c>
      <c r="D90" s="29" t="s">
        <v>298</v>
      </c>
      <c r="E90" s="27" t="s">
        <v>865</v>
      </c>
      <c r="F90" s="27" t="s">
        <v>1728</v>
      </c>
      <c r="G90" s="26"/>
      <c r="H90" s="88" t="s">
        <v>3998</v>
      </c>
      <c r="I90" s="50"/>
    </row>
    <row r="91" spans="2:9" s="25" customFormat="1" ht="16.5" thickBot="1">
      <c r="B91" s="40">
        <f t="shared" si="1"/>
        <v>87</v>
      </c>
      <c r="C91" s="27" t="s">
        <v>2642</v>
      </c>
      <c r="D91" s="29" t="s">
        <v>298</v>
      </c>
      <c r="E91" s="27" t="s">
        <v>865</v>
      </c>
      <c r="F91" s="27" t="s">
        <v>1333</v>
      </c>
      <c r="G91" s="27" t="s">
        <v>870</v>
      </c>
      <c r="H91" s="89" t="s">
        <v>2905</v>
      </c>
    </row>
    <row r="92" spans="2:9" s="25" customFormat="1" ht="16.5" thickBot="1">
      <c r="B92" s="40">
        <f t="shared" si="1"/>
        <v>88</v>
      </c>
      <c r="C92" s="27" t="s">
        <v>2642</v>
      </c>
      <c r="D92" s="29" t="s">
        <v>298</v>
      </c>
      <c r="E92" s="27" t="s">
        <v>865</v>
      </c>
      <c r="F92" s="27" t="s">
        <v>1333</v>
      </c>
      <c r="G92" s="27" t="s">
        <v>874</v>
      </c>
      <c r="H92" s="89" t="s">
        <v>2896</v>
      </c>
    </row>
    <row r="93" spans="2:9" s="25" customFormat="1" ht="32.25" thickBot="1">
      <c r="B93" s="40">
        <f t="shared" si="1"/>
        <v>89</v>
      </c>
      <c r="C93" s="27" t="s">
        <v>2642</v>
      </c>
      <c r="D93" s="29" t="s">
        <v>298</v>
      </c>
      <c r="E93" s="27" t="s">
        <v>865</v>
      </c>
      <c r="F93" s="27"/>
      <c r="G93" s="27" t="s">
        <v>2891</v>
      </c>
      <c r="H93" s="89" t="s">
        <v>3667</v>
      </c>
    </row>
    <row r="94" spans="2:9" s="25" customFormat="1" ht="32.25" thickBot="1">
      <c r="B94" s="40">
        <f t="shared" si="1"/>
        <v>90</v>
      </c>
      <c r="C94" s="27" t="s">
        <v>2642</v>
      </c>
      <c r="D94" s="29" t="s">
        <v>298</v>
      </c>
      <c r="E94" s="27" t="s">
        <v>865</v>
      </c>
      <c r="F94" s="27"/>
      <c r="G94" s="27" t="s">
        <v>2899</v>
      </c>
      <c r="H94" s="89" t="s">
        <v>3996</v>
      </c>
    </row>
    <row r="95" spans="2:9" s="25" customFormat="1" ht="9" customHeight="1" thickBot="1">
      <c r="B95" s="23">
        <f t="shared" si="1"/>
        <v>91</v>
      </c>
      <c r="C95" s="43"/>
      <c r="D95" s="43"/>
      <c r="E95" s="43"/>
      <c r="F95" s="43"/>
      <c r="G95" s="43"/>
      <c r="H95" s="44"/>
    </row>
    <row r="96" spans="2:9" s="25" customFormat="1" ht="9" customHeight="1">
      <c r="B96" s="23">
        <f t="shared" si="1"/>
        <v>92</v>
      </c>
      <c r="C96" s="37"/>
      <c r="D96" s="37"/>
      <c r="E96" s="37"/>
      <c r="F96" s="37"/>
      <c r="G96" s="38"/>
      <c r="H96" s="39"/>
    </row>
    <row r="97" spans="2:13" s="25" customFormat="1" ht="15.75">
      <c r="B97" s="40">
        <f t="shared" si="1"/>
        <v>93</v>
      </c>
      <c r="C97" s="27" t="s">
        <v>2642</v>
      </c>
      <c r="D97" s="69" t="s">
        <v>178</v>
      </c>
      <c r="E97" s="27"/>
      <c r="F97" s="27" t="s">
        <v>866</v>
      </c>
      <c r="G97" s="26"/>
      <c r="H97" s="41"/>
    </row>
    <row r="98" spans="2:13" s="25" customFormat="1" ht="15.75">
      <c r="B98" s="40">
        <f t="shared" si="1"/>
        <v>94</v>
      </c>
      <c r="C98" s="27" t="s">
        <v>2642</v>
      </c>
      <c r="D98" s="69" t="s">
        <v>178</v>
      </c>
      <c r="E98" s="27"/>
      <c r="F98" s="27" t="s">
        <v>1728</v>
      </c>
      <c r="G98" s="26"/>
      <c r="H98" s="41"/>
      <c r="I98" s="50"/>
    </row>
    <row r="99" spans="2:13" s="25" customFormat="1" ht="15.75">
      <c r="B99" s="40">
        <f t="shared" si="1"/>
        <v>95</v>
      </c>
      <c r="C99" s="27" t="s">
        <v>2642</v>
      </c>
      <c r="D99" s="69" t="s">
        <v>178</v>
      </c>
      <c r="E99" s="27"/>
      <c r="F99" s="27" t="s">
        <v>1333</v>
      </c>
      <c r="G99" s="27"/>
      <c r="H99" s="42"/>
    </row>
    <row r="100" spans="2:13" s="25" customFormat="1" ht="15.75">
      <c r="B100" s="40">
        <f t="shared" si="1"/>
        <v>96</v>
      </c>
      <c r="C100" s="27" t="s">
        <v>2642</v>
      </c>
      <c r="D100" s="69" t="s">
        <v>178</v>
      </c>
      <c r="E100" s="27"/>
      <c r="F100" s="27" t="s">
        <v>1333</v>
      </c>
      <c r="G100" s="27"/>
      <c r="H100" s="42"/>
    </row>
    <row r="101" spans="2:13" s="25" customFormat="1" ht="15.75">
      <c r="B101" s="40">
        <f t="shared" si="1"/>
        <v>97</v>
      </c>
      <c r="C101" s="27" t="s">
        <v>2642</v>
      </c>
      <c r="D101" s="69" t="s">
        <v>178</v>
      </c>
      <c r="E101" s="27"/>
      <c r="F101" s="27" t="s">
        <v>1333</v>
      </c>
      <c r="G101" s="27"/>
      <c r="H101" s="42"/>
    </row>
    <row r="102" spans="2:13" s="25" customFormat="1" ht="15.75">
      <c r="B102" s="40">
        <f t="shared" si="1"/>
        <v>98</v>
      </c>
      <c r="C102" s="27" t="s">
        <v>2642</v>
      </c>
      <c r="D102" s="69" t="s">
        <v>178</v>
      </c>
      <c r="E102" s="27"/>
      <c r="F102" s="27"/>
      <c r="G102" s="27"/>
      <c r="H102" s="42"/>
    </row>
    <row r="103" spans="2:13" s="25" customFormat="1" ht="9" customHeight="1" thickBot="1">
      <c r="B103" s="23">
        <f t="shared" si="1"/>
        <v>99</v>
      </c>
      <c r="C103" s="43"/>
      <c r="D103" s="43"/>
      <c r="E103" s="43"/>
      <c r="F103" s="43"/>
      <c r="G103" s="43"/>
      <c r="H103" s="44"/>
    </row>
    <row r="104" spans="2:13" ht="16.5" thickBot="1">
      <c r="E104" s="25"/>
      <c r="K104" s="10"/>
    </row>
    <row r="105" spans="2:13" ht="15.75" thickBot="1">
      <c r="C105" s="111"/>
      <c r="D105" s="112"/>
      <c r="F105" s="111"/>
      <c r="G105" s="113"/>
      <c r="H105" s="113"/>
      <c r="I105" s="113"/>
      <c r="J105" s="112"/>
    </row>
    <row r="106" spans="2:13">
      <c r="C106" s="72" t="s">
        <v>292</v>
      </c>
      <c r="D106" s="73" t="s">
        <v>4101</v>
      </c>
      <c r="F106" s="72" t="s">
        <v>2943</v>
      </c>
      <c r="G106" s="76" t="s">
        <v>293</v>
      </c>
      <c r="H106" s="76" t="s">
        <v>2642</v>
      </c>
      <c r="I106" s="76" t="s">
        <v>2879</v>
      </c>
      <c r="J106" s="73" t="s">
        <v>1780</v>
      </c>
      <c r="L106" t="s">
        <v>169</v>
      </c>
      <c r="M106" t="s">
        <v>4057</v>
      </c>
    </row>
    <row r="107" spans="2:13">
      <c r="C107" s="72" t="s">
        <v>292</v>
      </c>
      <c r="D107" s="73" t="s">
        <v>4102</v>
      </c>
      <c r="F107" s="72"/>
      <c r="G107" s="76"/>
      <c r="H107" s="76"/>
      <c r="I107" s="76"/>
      <c r="J107" s="73"/>
      <c r="L107" t="s">
        <v>169</v>
      </c>
      <c r="M107" t="s">
        <v>4058</v>
      </c>
    </row>
    <row r="108" spans="2:13">
      <c r="C108" s="72" t="s">
        <v>292</v>
      </c>
      <c r="D108" s="73" t="s">
        <v>4103</v>
      </c>
      <c r="F108" s="72"/>
      <c r="G108" s="76"/>
      <c r="H108" s="76"/>
      <c r="I108" s="76"/>
      <c r="J108" s="73"/>
      <c r="L108" t="s">
        <v>169</v>
      </c>
      <c r="M108" t="s">
        <v>4059</v>
      </c>
    </row>
    <row r="109" spans="2:13">
      <c r="C109" s="72" t="s">
        <v>292</v>
      </c>
      <c r="D109" s="73" t="s">
        <v>4104</v>
      </c>
      <c r="F109" s="72"/>
      <c r="G109" s="76"/>
      <c r="H109" s="76"/>
      <c r="I109" s="76"/>
      <c r="J109" s="73"/>
      <c r="L109" t="s">
        <v>169</v>
      </c>
      <c r="M109" t="s">
        <v>4059</v>
      </c>
    </row>
    <row r="110" spans="2:13">
      <c r="C110" s="72" t="s">
        <v>293</v>
      </c>
      <c r="D110" s="73" t="s">
        <v>4105</v>
      </c>
      <c r="F110" s="72"/>
      <c r="G110" s="76"/>
      <c r="H110" s="76"/>
      <c r="I110" s="76"/>
      <c r="J110" s="73"/>
      <c r="L110" t="s">
        <v>169</v>
      </c>
      <c r="M110" t="s">
        <v>4059</v>
      </c>
    </row>
    <row r="111" spans="2:13">
      <c r="C111" s="72" t="s">
        <v>293</v>
      </c>
      <c r="D111" s="73" t="s">
        <v>4106</v>
      </c>
      <c r="F111" s="72"/>
      <c r="G111" s="76"/>
      <c r="H111" s="76"/>
      <c r="I111" s="76"/>
      <c r="J111" s="73"/>
      <c r="L111" t="s">
        <v>169</v>
      </c>
      <c r="M111" t="s">
        <v>2064</v>
      </c>
    </row>
    <row r="112" spans="2:13">
      <c r="C112" s="72" t="s">
        <v>293</v>
      </c>
      <c r="D112" s="73" t="s">
        <v>4107</v>
      </c>
      <c r="F112" s="72"/>
      <c r="G112" s="76"/>
      <c r="H112" s="76"/>
      <c r="I112" s="76"/>
      <c r="J112" s="73"/>
      <c r="M112" t="s">
        <v>2064</v>
      </c>
    </row>
    <row r="113" spans="3:13">
      <c r="C113" s="72" t="s">
        <v>293</v>
      </c>
      <c r="D113" s="73" t="s">
        <v>4108</v>
      </c>
      <c r="F113" s="72"/>
      <c r="G113" s="76"/>
      <c r="H113" s="76"/>
      <c r="I113" s="76"/>
      <c r="J113" s="73"/>
      <c r="M113" t="s">
        <v>2064</v>
      </c>
    </row>
    <row r="114" spans="3:13">
      <c r="C114" s="72" t="s">
        <v>293</v>
      </c>
      <c r="D114" s="73" t="s">
        <v>4109</v>
      </c>
      <c r="F114" s="72"/>
      <c r="G114" s="76"/>
      <c r="H114" s="76"/>
      <c r="I114" s="76"/>
      <c r="J114" s="73"/>
      <c r="M114" t="s">
        <v>2064</v>
      </c>
    </row>
    <row r="115" spans="3:13">
      <c r="C115" s="72" t="s">
        <v>293</v>
      </c>
      <c r="D115" s="73" t="s">
        <v>4110</v>
      </c>
      <c r="F115" s="72"/>
      <c r="G115" s="76"/>
      <c r="H115" s="76"/>
      <c r="I115" s="76"/>
      <c r="J115" s="73"/>
      <c r="M115" t="s">
        <v>2064</v>
      </c>
    </row>
    <row r="116" spans="3:13">
      <c r="C116" s="72" t="s">
        <v>293</v>
      </c>
      <c r="D116" s="73" t="s">
        <v>4111</v>
      </c>
      <c r="F116" s="72"/>
      <c r="G116" s="76"/>
      <c r="H116" s="76"/>
      <c r="I116" s="76"/>
      <c r="J116" s="73"/>
      <c r="M116" t="s">
        <v>2064</v>
      </c>
    </row>
    <row r="117" spans="3:13">
      <c r="C117" s="72" t="s">
        <v>294</v>
      </c>
      <c r="D117" s="73" t="s">
        <v>4112</v>
      </c>
      <c r="F117" s="72"/>
      <c r="G117" s="76"/>
      <c r="H117" s="76"/>
      <c r="I117" s="76"/>
      <c r="J117" s="73"/>
      <c r="M117" t="s">
        <v>2064</v>
      </c>
    </row>
    <row r="118" spans="3:13">
      <c r="C118" s="72" t="s">
        <v>294</v>
      </c>
      <c r="D118" s="73" t="s">
        <v>4113</v>
      </c>
      <c r="F118" s="72"/>
      <c r="G118" s="76"/>
      <c r="H118" s="76"/>
      <c r="I118" s="76"/>
      <c r="J118" s="73"/>
      <c r="L118" t="s">
        <v>180</v>
      </c>
      <c r="M118" t="s">
        <v>4057</v>
      </c>
    </row>
    <row r="119" spans="3:13">
      <c r="C119" s="72" t="s">
        <v>294</v>
      </c>
      <c r="D119" s="73" t="s">
        <v>4114</v>
      </c>
      <c r="F119" s="72"/>
      <c r="G119" s="76"/>
      <c r="H119" s="76"/>
      <c r="I119" s="76"/>
      <c r="J119" s="73"/>
      <c r="L119" t="s">
        <v>180</v>
      </c>
      <c r="M119" t="s">
        <v>4058</v>
      </c>
    </row>
    <row r="120" spans="3:13">
      <c r="C120" s="72" t="s">
        <v>294</v>
      </c>
      <c r="D120" s="73" t="s">
        <v>4115</v>
      </c>
      <c r="F120" s="72"/>
      <c r="G120" s="76"/>
      <c r="H120" s="76"/>
      <c r="I120" s="76"/>
      <c r="J120" s="73"/>
      <c r="L120" t="s">
        <v>180</v>
      </c>
      <c r="M120" t="s">
        <v>4059</v>
      </c>
    </row>
    <row r="121" spans="3:13">
      <c r="C121" s="72" t="s">
        <v>294</v>
      </c>
      <c r="D121" s="73" t="s">
        <v>4116</v>
      </c>
      <c r="F121" s="72"/>
      <c r="G121" s="76"/>
      <c r="H121" s="76"/>
      <c r="I121" s="76"/>
      <c r="J121" s="73"/>
      <c r="L121" t="s">
        <v>180</v>
      </c>
      <c r="M121" t="s">
        <v>4059</v>
      </c>
    </row>
    <row r="122" spans="3:13">
      <c r="C122" s="72" t="s">
        <v>294</v>
      </c>
      <c r="D122" s="73" t="s">
        <v>4117</v>
      </c>
      <c r="F122" s="72"/>
      <c r="G122" s="76"/>
      <c r="H122" s="76"/>
      <c r="I122" s="76"/>
      <c r="J122" s="73"/>
      <c r="L122" t="s">
        <v>180</v>
      </c>
      <c r="M122" t="s">
        <v>4059</v>
      </c>
    </row>
    <row r="123" spans="3:13">
      <c r="C123" s="72" t="s">
        <v>295</v>
      </c>
      <c r="D123" s="73" t="s">
        <v>4118</v>
      </c>
      <c r="F123" s="72"/>
      <c r="G123" s="76"/>
      <c r="H123" s="76"/>
      <c r="I123" s="76"/>
      <c r="J123" s="73"/>
      <c r="L123" t="s">
        <v>180</v>
      </c>
      <c r="M123" t="s">
        <v>2064</v>
      </c>
    </row>
    <row r="124" spans="3:13">
      <c r="C124" s="72" t="s">
        <v>295</v>
      </c>
      <c r="D124" s="73" t="s">
        <v>4119</v>
      </c>
      <c r="F124" s="72"/>
      <c r="G124" s="76"/>
      <c r="H124" s="76"/>
      <c r="I124" s="76"/>
      <c r="J124" s="73"/>
      <c r="M124" t="s">
        <v>2064</v>
      </c>
    </row>
    <row r="125" spans="3:13">
      <c r="C125" s="72" t="s">
        <v>295</v>
      </c>
      <c r="D125" s="73" t="s">
        <v>4120</v>
      </c>
      <c r="F125" s="72"/>
      <c r="G125" s="76"/>
      <c r="H125" s="76"/>
      <c r="I125" s="76"/>
      <c r="J125" s="73"/>
      <c r="M125" t="s">
        <v>2064</v>
      </c>
    </row>
    <row r="126" spans="3:13">
      <c r="C126" s="72" t="s">
        <v>295</v>
      </c>
      <c r="D126" s="73" t="s">
        <v>4121</v>
      </c>
      <c r="F126" s="72"/>
      <c r="G126" s="76"/>
      <c r="H126" s="76"/>
      <c r="I126" s="76"/>
      <c r="J126" s="73"/>
      <c r="M126" t="s">
        <v>2064</v>
      </c>
    </row>
    <row r="127" spans="3:13">
      <c r="C127" s="72" t="s">
        <v>295</v>
      </c>
      <c r="D127" s="73" t="s">
        <v>4122</v>
      </c>
      <c r="F127" s="72"/>
      <c r="G127" s="76"/>
      <c r="H127" s="76"/>
      <c r="I127" s="76"/>
      <c r="J127" s="73"/>
      <c r="M127" t="s">
        <v>2064</v>
      </c>
    </row>
    <row r="128" spans="3:13">
      <c r="C128" s="72" t="s">
        <v>295</v>
      </c>
      <c r="D128" s="73" t="s">
        <v>4123</v>
      </c>
      <c r="F128" s="72"/>
      <c r="G128" s="76"/>
      <c r="H128" s="76"/>
      <c r="I128" s="76"/>
      <c r="J128" s="73"/>
      <c r="L128" t="s">
        <v>181</v>
      </c>
      <c r="M128" t="s">
        <v>4057</v>
      </c>
    </row>
    <row r="129" spans="3:13">
      <c r="C129" s="72" t="s">
        <v>296</v>
      </c>
      <c r="D129" s="73" t="s">
        <v>4124</v>
      </c>
      <c r="F129" s="72"/>
      <c r="G129" s="76"/>
      <c r="H129" s="76"/>
      <c r="I129" s="76"/>
      <c r="J129" s="73"/>
      <c r="L129" t="s">
        <v>181</v>
      </c>
      <c r="M129" t="s">
        <v>4058</v>
      </c>
    </row>
    <row r="130" spans="3:13">
      <c r="C130" s="72" t="s">
        <v>296</v>
      </c>
      <c r="D130" s="73" t="s">
        <v>4125</v>
      </c>
      <c r="F130" s="72"/>
      <c r="G130" s="76"/>
      <c r="H130" s="76"/>
      <c r="I130" s="76"/>
      <c r="J130" s="73"/>
      <c r="L130" t="s">
        <v>181</v>
      </c>
      <c r="M130" t="s">
        <v>4059</v>
      </c>
    </row>
    <row r="131" spans="3:13">
      <c r="C131" s="72" t="s">
        <v>296</v>
      </c>
      <c r="D131" s="73" t="s">
        <v>4126</v>
      </c>
      <c r="F131" s="72"/>
      <c r="G131" s="76"/>
      <c r="H131" s="76"/>
      <c r="I131" s="76"/>
      <c r="J131" s="73"/>
      <c r="L131" t="s">
        <v>181</v>
      </c>
      <c r="M131" t="s">
        <v>4059</v>
      </c>
    </row>
    <row r="132" spans="3:13">
      <c r="C132" s="72" t="s">
        <v>296</v>
      </c>
      <c r="D132" s="73" t="s">
        <v>4127</v>
      </c>
      <c r="F132" s="72"/>
      <c r="G132" s="76"/>
      <c r="H132" s="76"/>
      <c r="I132" s="76"/>
      <c r="J132" s="73"/>
      <c r="L132" t="s">
        <v>181</v>
      </c>
      <c r="M132" t="s">
        <v>4059</v>
      </c>
    </row>
    <row r="133" spans="3:13">
      <c r="C133" s="72" t="s">
        <v>296</v>
      </c>
      <c r="D133" s="73" t="s">
        <v>4123</v>
      </c>
      <c r="F133" s="72"/>
      <c r="G133" s="76"/>
      <c r="H133" s="76"/>
      <c r="I133" s="76"/>
      <c r="J133" s="73"/>
      <c r="L133" t="s">
        <v>181</v>
      </c>
      <c r="M133" t="s">
        <v>2064</v>
      </c>
    </row>
    <row r="134" spans="3:13">
      <c r="C134" s="72" t="s">
        <v>296</v>
      </c>
      <c r="D134" s="73" t="s">
        <v>4128</v>
      </c>
      <c r="F134" s="72"/>
      <c r="G134" s="76"/>
      <c r="H134" s="76"/>
      <c r="I134" s="76"/>
      <c r="J134" s="73"/>
      <c r="M134" t="s">
        <v>2064</v>
      </c>
    </row>
    <row r="135" spans="3:13">
      <c r="C135" s="72" t="s">
        <v>296</v>
      </c>
      <c r="D135" s="73" t="s">
        <v>4129</v>
      </c>
      <c r="F135" s="72"/>
      <c r="G135" s="76"/>
      <c r="H135" s="76"/>
      <c r="I135" s="76"/>
      <c r="J135" s="73"/>
      <c r="M135" t="s">
        <v>2064</v>
      </c>
    </row>
    <row r="136" spans="3:13">
      <c r="C136" s="72" t="s">
        <v>296</v>
      </c>
      <c r="D136" s="73" t="s">
        <v>4130</v>
      </c>
      <c r="F136" s="72"/>
      <c r="G136" s="76"/>
      <c r="H136" s="76"/>
      <c r="I136" s="76"/>
      <c r="J136" s="73"/>
      <c r="L136" t="s">
        <v>256</v>
      </c>
      <c r="M136" t="s">
        <v>4057</v>
      </c>
    </row>
    <row r="137" spans="3:13">
      <c r="C137" s="72" t="s">
        <v>296</v>
      </c>
      <c r="D137" s="73" t="s">
        <v>4131</v>
      </c>
      <c r="F137" s="72"/>
      <c r="G137" s="76"/>
      <c r="H137" s="76"/>
      <c r="I137" s="76"/>
      <c r="J137" s="73"/>
      <c r="L137" t="s">
        <v>256</v>
      </c>
      <c r="M137" t="s">
        <v>4058</v>
      </c>
    </row>
    <row r="138" spans="3:13">
      <c r="C138" s="72" t="s">
        <v>297</v>
      </c>
      <c r="D138" s="73" t="s">
        <v>4132</v>
      </c>
      <c r="F138" s="72"/>
      <c r="G138" s="76"/>
      <c r="H138" s="76"/>
      <c r="I138" s="76"/>
      <c r="J138" s="73"/>
      <c r="L138" t="s">
        <v>256</v>
      </c>
      <c r="M138" t="s">
        <v>4059</v>
      </c>
    </row>
    <row r="139" spans="3:13">
      <c r="C139" s="72" t="s">
        <v>297</v>
      </c>
      <c r="D139" s="73" t="s">
        <v>4133</v>
      </c>
      <c r="F139" s="72"/>
      <c r="G139" s="76"/>
      <c r="H139" s="76"/>
      <c r="I139" s="76"/>
      <c r="J139" s="73"/>
      <c r="L139" t="s">
        <v>256</v>
      </c>
      <c r="M139" t="s">
        <v>4059</v>
      </c>
    </row>
    <row r="140" spans="3:13">
      <c r="C140" s="72" t="s">
        <v>297</v>
      </c>
      <c r="D140" s="73" t="s">
        <v>4134</v>
      </c>
      <c r="F140" s="72"/>
      <c r="G140" s="76"/>
      <c r="H140" s="76"/>
      <c r="I140" s="76"/>
      <c r="J140" s="73"/>
      <c r="L140" t="s">
        <v>256</v>
      </c>
      <c r="M140" t="s">
        <v>4059</v>
      </c>
    </row>
    <row r="141" spans="3:13">
      <c r="C141" s="72" t="s">
        <v>297</v>
      </c>
      <c r="D141" s="73" t="s">
        <v>4127</v>
      </c>
      <c r="F141" s="72"/>
      <c r="G141" s="76"/>
      <c r="H141" s="76"/>
      <c r="I141" s="76"/>
      <c r="J141" s="73"/>
      <c r="L141" t="s">
        <v>256</v>
      </c>
      <c r="M141" t="s">
        <v>2064</v>
      </c>
    </row>
    <row r="142" spans="3:13">
      <c r="C142" s="72" t="s">
        <v>297</v>
      </c>
      <c r="D142" s="73" t="s">
        <v>4123</v>
      </c>
      <c r="F142" s="72"/>
      <c r="G142" s="76"/>
      <c r="H142" s="76"/>
      <c r="I142" s="76"/>
      <c r="J142" s="73"/>
      <c r="M142" t="s">
        <v>2064</v>
      </c>
    </row>
    <row r="143" spans="3:13">
      <c r="C143" s="72" t="s">
        <v>297</v>
      </c>
      <c r="D143" s="73" t="s">
        <v>4135</v>
      </c>
      <c r="F143" s="72"/>
      <c r="G143" s="76"/>
      <c r="H143" s="76"/>
      <c r="I143" s="76"/>
      <c r="J143" s="73"/>
      <c r="M143" t="s">
        <v>2064</v>
      </c>
    </row>
    <row r="144" spans="3:13">
      <c r="C144" s="72" t="s">
        <v>297</v>
      </c>
      <c r="D144" s="73" t="s">
        <v>4136</v>
      </c>
      <c r="F144" s="72"/>
      <c r="G144" s="76"/>
      <c r="H144" s="76"/>
      <c r="I144" s="76"/>
      <c r="J144" s="73"/>
      <c r="M144" t="s">
        <v>2064</v>
      </c>
    </row>
    <row r="145" spans="3:13">
      <c r="C145" s="72" t="s">
        <v>298</v>
      </c>
      <c r="D145" s="73" t="s">
        <v>4137</v>
      </c>
      <c r="F145" s="72"/>
      <c r="G145" s="76"/>
      <c r="H145" s="76"/>
      <c r="I145" s="76"/>
      <c r="J145" s="73"/>
      <c r="M145" t="s">
        <v>2064</v>
      </c>
    </row>
    <row r="146" spans="3:13">
      <c r="C146" s="72" t="s">
        <v>298</v>
      </c>
      <c r="D146" s="73" t="s">
        <v>4138</v>
      </c>
      <c r="F146" s="72"/>
      <c r="G146" s="76"/>
      <c r="H146" s="76"/>
      <c r="I146" s="76"/>
      <c r="J146" s="73"/>
      <c r="M146" t="s">
        <v>2064</v>
      </c>
    </row>
    <row r="147" spans="3:13">
      <c r="C147" s="72" t="s">
        <v>298</v>
      </c>
      <c r="D147" s="73" t="s">
        <v>4139</v>
      </c>
      <c r="F147" s="72"/>
      <c r="G147" s="76"/>
      <c r="H147" s="76"/>
      <c r="I147" s="76"/>
      <c r="J147" s="73"/>
      <c r="M147" t="s">
        <v>2064</v>
      </c>
    </row>
    <row r="148" spans="3:13">
      <c r="C148" s="72" t="s">
        <v>298</v>
      </c>
      <c r="D148" s="73" t="s">
        <v>4127</v>
      </c>
      <c r="F148" s="72"/>
      <c r="G148" s="76"/>
      <c r="H148" s="76"/>
      <c r="I148" s="76"/>
      <c r="J148" s="73"/>
      <c r="M148" t="s">
        <v>2064</v>
      </c>
    </row>
    <row r="149" spans="3:13">
      <c r="C149" s="72" t="s">
        <v>298</v>
      </c>
      <c r="D149" s="73" t="s">
        <v>4123</v>
      </c>
      <c r="F149" s="72"/>
      <c r="G149" s="76"/>
      <c r="H149" s="76"/>
      <c r="I149" s="76"/>
      <c r="J149" s="73"/>
      <c r="M149" t="s">
        <v>2064</v>
      </c>
    </row>
    <row r="150" spans="3:13">
      <c r="C150" s="72" t="s">
        <v>298</v>
      </c>
      <c r="D150" s="73" t="s">
        <v>4135</v>
      </c>
      <c r="F150" s="72"/>
      <c r="G150" s="76"/>
      <c r="H150" s="76"/>
      <c r="I150" s="76"/>
      <c r="J150" s="73"/>
      <c r="M150" t="s">
        <v>2064</v>
      </c>
    </row>
    <row r="151" spans="3:13">
      <c r="C151" s="72"/>
      <c r="D151" s="73"/>
      <c r="F151" s="72"/>
      <c r="G151" s="76"/>
      <c r="H151" s="76"/>
      <c r="I151" s="76"/>
      <c r="J151" s="73"/>
      <c r="M151" t="s">
        <v>2064</v>
      </c>
    </row>
    <row r="152" spans="3:13">
      <c r="C152" s="72"/>
      <c r="D152" s="73"/>
      <c r="F152" s="72"/>
      <c r="G152" s="76"/>
      <c r="H152" s="76"/>
      <c r="I152" s="76"/>
      <c r="J152" s="73"/>
      <c r="L152" t="s">
        <v>178</v>
      </c>
      <c r="M152" t="s">
        <v>4057</v>
      </c>
    </row>
    <row r="153" spans="3:13">
      <c r="C153" s="72"/>
      <c r="D153" s="73"/>
      <c r="F153" s="72"/>
      <c r="G153" s="76"/>
      <c r="H153" s="76"/>
      <c r="I153" s="76"/>
      <c r="J153" s="73"/>
      <c r="L153" t="s">
        <v>178</v>
      </c>
      <c r="M153" t="s">
        <v>4058</v>
      </c>
    </row>
    <row r="154" spans="3:13">
      <c r="C154" s="72"/>
      <c r="D154" s="73"/>
      <c r="F154" s="72"/>
      <c r="G154" s="76"/>
      <c r="H154" s="76"/>
      <c r="I154" s="76"/>
      <c r="J154" s="73"/>
      <c r="L154" t="s">
        <v>178</v>
      </c>
      <c r="M154" t="s">
        <v>4059</v>
      </c>
    </row>
    <row r="155" spans="3:13">
      <c r="C155" s="72"/>
      <c r="D155" s="73"/>
      <c r="F155" s="72"/>
      <c r="G155" s="76"/>
      <c r="H155" s="76"/>
      <c r="I155" s="76"/>
      <c r="J155" s="73"/>
      <c r="L155" t="s">
        <v>178</v>
      </c>
      <c r="M155" t="s">
        <v>4059</v>
      </c>
    </row>
    <row r="156" spans="3:13">
      <c r="C156" s="72"/>
      <c r="D156" s="73"/>
      <c r="F156" s="72"/>
      <c r="G156" s="76"/>
      <c r="H156" s="76"/>
      <c r="I156" s="76"/>
      <c r="J156" s="73"/>
      <c r="L156" t="s">
        <v>178</v>
      </c>
      <c r="M156" t="s">
        <v>4059</v>
      </c>
    </row>
    <row r="157" spans="3:13">
      <c r="C157" s="72"/>
      <c r="D157" s="73"/>
      <c r="F157" s="72"/>
      <c r="G157" s="76"/>
      <c r="H157" s="76"/>
      <c r="I157" s="76"/>
      <c r="J157" s="73"/>
      <c r="L157" t="s">
        <v>178</v>
      </c>
      <c r="M157" t="s">
        <v>2064</v>
      </c>
    </row>
    <row r="158" spans="3:13">
      <c r="C158" s="72"/>
      <c r="D158" s="73"/>
      <c r="F158" s="72"/>
      <c r="G158" s="76"/>
      <c r="H158" s="76"/>
      <c r="I158" s="76"/>
      <c r="J158" s="73"/>
      <c r="M158" t="s">
        <v>2064</v>
      </c>
    </row>
    <row r="159" spans="3:13">
      <c r="C159" s="72"/>
      <c r="D159" s="73"/>
      <c r="F159" s="72"/>
      <c r="G159" s="76"/>
      <c r="H159" s="76"/>
      <c r="I159" s="76"/>
      <c r="J159" s="73"/>
    </row>
    <row r="160" spans="3:13">
      <c r="C160" s="72"/>
      <c r="D160" s="73"/>
      <c r="F160" s="72"/>
      <c r="G160" s="76"/>
      <c r="H160" s="76"/>
      <c r="I160" s="76"/>
      <c r="J160" s="73"/>
    </row>
    <row r="161" spans="3:10">
      <c r="C161" s="72"/>
      <c r="D161" s="73"/>
      <c r="F161" s="72"/>
      <c r="G161" s="76"/>
      <c r="H161" s="76"/>
      <c r="I161" s="76"/>
      <c r="J161" s="73"/>
    </row>
    <row r="162" spans="3:10">
      <c r="C162" s="72"/>
      <c r="D162" s="73"/>
      <c r="F162" s="72"/>
      <c r="G162" s="76"/>
      <c r="H162" s="76"/>
      <c r="I162" s="76"/>
      <c r="J162" s="73"/>
    </row>
    <row r="163" spans="3:10">
      <c r="C163" s="72"/>
      <c r="D163" s="73"/>
      <c r="F163" s="72"/>
      <c r="G163" s="76"/>
      <c r="H163" s="76"/>
      <c r="I163" s="76"/>
      <c r="J163" s="73"/>
    </row>
    <row r="164" spans="3:10">
      <c r="C164" s="72"/>
      <c r="D164" s="73"/>
      <c r="F164" s="72"/>
      <c r="G164" s="76"/>
      <c r="H164" s="76"/>
      <c r="I164" s="76"/>
      <c r="J164" s="73"/>
    </row>
    <row r="165" spans="3:10">
      <c r="C165" s="72"/>
      <c r="D165" s="73"/>
      <c r="F165" s="72"/>
      <c r="G165" s="76"/>
      <c r="H165" s="76"/>
      <c r="I165" s="76"/>
      <c r="J165" s="73"/>
    </row>
    <row r="166" spans="3:10">
      <c r="C166" s="72"/>
      <c r="D166" s="73"/>
      <c r="F166" s="72"/>
      <c r="G166" s="76"/>
      <c r="H166" s="76"/>
      <c r="I166" s="76"/>
      <c r="J166" s="73"/>
    </row>
    <row r="167" spans="3:10">
      <c r="C167" s="72"/>
      <c r="D167" s="73"/>
      <c r="F167" s="72"/>
      <c r="G167" s="76"/>
      <c r="H167" s="76"/>
      <c r="I167" s="76"/>
      <c r="J167" s="73"/>
    </row>
    <row r="168" spans="3:10">
      <c r="C168" s="72"/>
      <c r="D168" s="73"/>
      <c r="F168" s="72"/>
      <c r="G168" s="76"/>
      <c r="H168" s="76"/>
      <c r="I168" s="76"/>
      <c r="J168" s="73"/>
    </row>
    <row r="169" spans="3:10">
      <c r="C169" s="72"/>
      <c r="D169" s="73"/>
      <c r="F169" s="72"/>
      <c r="G169" s="76"/>
      <c r="H169" s="76"/>
      <c r="I169" s="76"/>
      <c r="J169" s="73"/>
    </row>
    <row r="170" spans="3:10">
      <c r="C170" s="72"/>
      <c r="D170" s="73"/>
      <c r="F170" s="72"/>
      <c r="G170" s="76"/>
      <c r="H170" s="76"/>
      <c r="I170" s="76"/>
      <c r="J170" s="73"/>
    </row>
    <row r="171" spans="3:10">
      <c r="C171" s="72"/>
      <c r="D171" s="73"/>
      <c r="F171" s="72"/>
      <c r="G171" s="76"/>
      <c r="H171" s="76"/>
      <c r="I171" s="76"/>
      <c r="J171" s="73"/>
    </row>
    <row r="172" spans="3:10">
      <c r="C172" s="72"/>
      <c r="D172" s="73"/>
      <c r="F172" s="72"/>
      <c r="G172" s="76"/>
      <c r="H172" s="76"/>
      <c r="I172" s="76"/>
      <c r="J172" s="73"/>
    </row>
    <row r="173" spans="3:10">
      <c r="C173" s="72"/>
      <c r="D173" s="73"/>
      <c r="F173" s="72"/>
      <c r="G173" s="76"/>
      <c r="H173" s="76"/>
      <c r="I173" s="76"/>
      <c r="J173" s="73"/>
    </row>
    <row r="174" spans="3:10">
      <c r="C174" s="72"/>
      <c r="D174" s="73"/>
      <c r="F174" s="72"/>
      <c r="G174" s="76"/>
      <c r="H174" s="76"/>
      <c r="I174" s="76"/>
      <c r="J174" s="73"/>
    </row>
    <row r="175" spans="3:10">
      <c r="C175" s="72"/>
      <c r="D175" s="73"/>
      <c r="F175" s="72"/>
      <c r="G175" s="76"/>
      <c r="H175" s="76"/>
      <c r="I175" s="76"/>
      <c r="J175" s="73"/>
    </row>
    <row r="176" spans="3:10">
      <c r="C176" s="72"/>
      <c r="D176" s="73"/>
      <c r="F176" s="72"/>
      <c r="G176" s="76"/>
      <c r="H176" s="76"/>
      <c r="I176" s="76"/>
      <c r="J176" s="73"/>
    </row>
    <row r="177" spans="3:10">
      <c r="C177" s="72"/>
      <c r="D177" s="73"/>
      <c r="F177" s="72"/>
      <c r="G177" s="76"/>
      <c r="H177" s="76"/>
      <c r="I177" s="76"/>
      <c r="J177" s="73"/>
    </row>
    <row r="178" spans="3:10">
      <c r="C178" s="72"/>
      <c r="D178" s="73"/>
      <c r="F178" s="72"/>
      <c r="G178" s="76"/>
      <c r="H178" s="76"/>
      <c r="I178" s="76"/>
      <c r="J178" s="73"/>
    </row>
    <row r="179" spans="3:10">
      <c r="C179" s="72"/>
      <c r="D179" s="73"/>
      <c r="F179" s="72"/>
      <c r="G179" s="76"/>
      <c r="H179" s="76"/>
      <c r="I179" s="76"/>
      <c r="J179" s="73"/>
    </row>
    <row r="180" spans="3:10">
      <c r="C180" s="72"/>
      <c r="D180" s="73"/>
      <c r="F180" s="72"/>
      <c r="G180" s="76"/>
      <c r="H180" s="76"/>
      <c r="I180" s="76"/>
      <c r="J180" s="73"/>
    </row>
    <row r="181" spans="3:10">
      <c r="C181" s="72"/>
      <c r="D181" s="73"/>
      <c r="F181" s="72"/>
      <c r="G181" s="76"/>
      <c r="H181" s="76"/>
      <c r="I181" s="76"/>
      <c r="J181" s="73"/>
    </row>
    <row r="182" spans="3:10">
      <c r="C182" s="72"/>
      <c r="D182" s="73"/>
      <c r="F182" s="72"/>
      <c r="G182" s="76"/>
      <c r="H182" s="76"/>
      <c r="I182" s="76"/>
      <c r="J182" s="73"/>
    </row>
    <row r="183" spans="3:10">
      <c r="C183" s="72"/>
      <c r="D183" s="73"/>
      <c r="F183" s="72"/>
      <c r="G183" s="76"/>
      <c r="H183" s="76"/>
      <c r="I183" s="76"/>
      <c r="J183" s="73"/>
    </row>
    <row r="184" spans="3:10">
      <c r="C184" s="72"/>
      <c r="D184" s="73"/>
      <c r="F184" s="72"/>
      <c r="G184" s="76"/>
      <c r="H184" s="76"/>
      <c r="I184" s="76"/>
      <c r="J184" s="73"/>
    </row>
    <row r="185" spans="3:10">
      <c r="C185" s="72"/>
      <c r="D185" s="73"/>
      <c r="F185" s="72"/>
      <c r="G185" s="76"/>
      <c r="H185" s="76"/>
      <c r="I185" s="76"/>
      <c r="J185" s="73"/>
    </row>
    <row r="186" spans="3:10">
      <c r="C186" s="72"/>
      <c r="D186" s="73"/>
      <c r="F186" s="72"/>
      <c r="G186" s="76"/>
      <c r="H186" s="76"/>
      <c r="I186" s="76"/>
      <c r="J186" s="73"/>
    </row>
    <row r="187" spans="3:10">
      <c r="C187" s="72"/>
      <c r="D187" s="73"/>
      <c r="F187" s="72"/>
      <c r="G187" s="76"/>
      <c r="H187" s="76"/>
      <c r="I187" s="76"/>
      <c r="J187" s="73"/>
    </row>
    <row r="188" spans="3:10" ht="15.75" thickBot="1">
      <c r="C188" s="72"/>
      <c r="D188" s="73"/>
      <c r="F188" s="74"/>
      <c r="G188" s="77"/>
      <c r="H188" s="77"/>
      <c r="I188" s="77"/>
      <c r="J188" s="75"/>
    </row>
    <row r="189" spans="3:10">
      <c r="C189" s="72"/>
      <c r="D189" s="73"/>
    </row>
    <row r="190" spans="3:10">
      <c r="C190" s="72"/>
      <c r="D190" s="73"/>
    </row>
    <row r="191" spans="3:10">
      <c r="C191" s="72"/>
      <c r="D191" s="73"/>
    </row>
    <row r="192" spans="3:10">
      <c r="C192" s="72"/>
      <c r="D192" s="73"/>
    </row>
    <row r="193" spans="3:4">
      <c r="C193" s="72"/>
      <c r="D193" s="73"/>
    </row>
    <row r="194" spans="3:4">
      <c r="C194" s="72"/>
      <c r="D194" s="73"/>
    </row>
    <row r="195" spans="3:4">
      <c r="C195" s="72"/>
      <c r="D195" s="83"/>
    </row>
    <row r="196" spans="3:4">
      <c r="C196" s="72"/>
      <c r="D196" s="73"/>
    </row>
    <row r="197" spans="3:4">
      <c r="C197" s="72"/>
      <c r="D197" s="73"/>
    </row>
    <row r="198" spans="3:4">
      <c r="C198" s="72"/>
      <c r="D198" s="73"/>
    </row>
    <row r="199" spans="3:4">
      <c r="C199" s="72"/>
      <c r="D199" s="73"/>
    </row>
    <row r="200" spans="3:4">
      <c r="C200" s="72"/>
      <c r="D200" s="73"/>
    </row>
    <row r="201" spans="3:4">
      <c r="C201" s="72"/>
      <c r="D201" s="73"/>
    </row>
    <row r="202" spans="3:4">
      <c r="C202" s="72"/>
      <c r="D202" s="73"/>
    </row>
    <row r="203" spans="3:4">
      <c r="C203" s="72"/>
      <c r="D203" s="73"/>
    </row>
    <row r="204" spans="3:4">
      <c r="C204" s="72"/>
      <c r="D204" s="73"/>
    </row>
    <row r="205" spans="3:4">
      <c r="C205" s="72"/>
      <c r="D205" s="73"/>
    </row>
    <row r="206" spans="3:4">
      <c r="C206" s="72"/>
      <c r="D206" s="73"/>
    </row>
    <row r="207" spans="3:4">
      <c r="C207" s="72"/>
      <c r="D207" s="73"/>
    </row>
    <row r="208" spans="3:4">
      <c r="C208" s="72"/>
      <c r="D208" s="73"/>
    </row>
    <row r="209" spans="3:4">
      <c r="C209" s="72"/>
      <c r="D209" s="73"/>
    </row>
    <row r="210" spans="3:4">
      <c r="C210" s="72"/>
      <c r="D210" s="73"/>
    </row>
    <row r="211" spans="3:4">
      <c r="C211" s="72"/>
      <c r="D211" s="73"/>
    </row>
    <row r="212" spans="3:4">
      <c r="C212" s="72"/>
      <c r="D212" s="73"/>
    </row>
    <row r="213" spans="3:4">
      <c r="C213" s="72"/>
      <c r="D213" s="73"/>
    </row>
    <row r="214" spans="3:4">
      <c r="C214" s="72"/>
      <c r="D214" s="73"/>
    </row>
    <row r="215" spans="3:4">
      <c r="C215" s="72"/>
      <c r="D215" s="73"/>
    </row>
    <row r="216" spans="3:4">
      <c r="C216" s="72"/>
      <c r="D216" s="73"/>
    </row>
    <row r="217" spans="3:4">
      <c r="C217" s="72"/>
      <c r="D217" s="73"/>
    </row>
    <row r="218" spans="3:4">
      <c r="C218" s="72"/>
      <c r="D218" s="73"/>
    </row>
    <row r="219" spans="3:4">
      <c r="C219" s="72"/>
      <c r="D219" s="73"/>
    </row>
    <row r="220" spans="3:4" ht="15.75" thickBot="1">
      <c r="C220" s="74"/>
      <c r="D220" s="75"/>
    </row>
  </sheetData>
  <mergeCells count="3">
    <mergeCell ref="C1:H1"/>
    <mergeCell ref="C105:D105"/>
    <mergeCell ref="F105:J105"/>
  </mergeCells>
  <dataValidations count="5">
    <dataValidation type="list" allowBlank="1" showInputMessage="1" showErrorMessage="1" sqref="E97:E102 E61:E66 E45:E50 E5:E10 E29:E34 E19:E26 E53:E58 E69:E77 E13:E16 E37:E42 E89:E94 E80:E86">
      <formula1>"Servicios,Referencia"</formula1>
    </dataValidation>
    <dataValidation type="list" allowBlank="1" showInputMessage="1" showErrorMessage="1" sqref="F97:F102 F61:F66 F45:F50 F13:F16 F29:F34 F19:F26 F53:F58 F89:F94 F5:F10 F37:F42 F80:F86 F69:F77">
      <formula1>Clase</formula1>
    </dataValidation>
    <dataValidation type="list" allowBlank="1" showInputMessage="1" showErrorMessage="1" sqref="D97:D102 D69:D77 D61:D66 D45:D50 D13:D16 D29:D34 D53:D58 D37:D42 D5:D10 D19:D26 D89:D94 D80:D86">
      <formula1>Estaciones</formula1>
    </dataValidation>
    <dataValidation type="list" allowBlank="1" showInputMessage="1" showErrorMessage="1" sqref="C97:C102 C89:C94 C29:C34 C53:C58 C61:C66 C45:C50 C13:C16 C37:C42 C5:C10 C19:C26 C69:C77 C80:C86">
      <formula1>Grupo</formula1>
    </dataValidation>
    <dataValidation type="custom" allowBlank="1" showInputMessage="1" showErrorMessage="1" sqref="E103 E95:E96 E67:E68 E59:E60 E51:E52 E43:E44 E17:E18 E27:E28 E35:E36 E11:E12 E3:E4 E78:E79 E87:E88">
      <formula1>"Referencia,Servicios"</formula1>
    </dataValidation>
  </dataValidations>
  <hyperlinks>
    <hyperlink ref="I14" r:id="rId1" display="http://toolserver.org/~geohack/geohack.php?pagename=Patriotismo_(estaci%C3%B3n)&amp;language=es&amp;params=19.406212_N_99.178905_W_region:MX_type:landmark_scale:5000"/>
    <hyperlink ref="I20" r:id="rId2" display="http://toolserver.org/~geohack/geohack.php?pagename=Chilpancingo_(estaci%C3%B3n)&amp;language=es&amp;params=19.406131_N_99.168477_W_region:MX_type:landmark_scale:5000"/>
    <hyperlink ref="I38" r:id="rId3" display="http://toolserver.org/~geohack/geohack.php?pagename=L%C3%A1zaro_C%C3%A1rdenas_(estaci%C3%B3n)&amp;language=es&amp;params=19.40696_N_99.144874_W_region:MX_type:landmark_scale:5000"/>
    <hyperlink ref="I62" r:id="rId4" display="http://toolserver.org/~geohack/geohack.php?pagename=Mixiuhca_(estaci%C3%B3n)&amp;language=es&amp;params=19.408478_N_99.112902_W_region:MX_type:landmark_scale:5000"/>
    <hyperlink ref="I70" r:id="rId5" display="http://toolserver.org/~geohack/geohack.php?pagename=Vel%C3%B3dromo_(estaci%C3%B3n)&amp;language=es&amp;params=19.408478_N_99.103074_W_region:MX_type:landmark_scale:5000"/>
    <hyperlink ref="I81" r:id="rId6" display="http://toolserver.org/~geohack/geohack.php?pagename=Ciudad_Deportiva_(estaci%C3%B3n)&amp;language=es&amp;params=19.408357_N_99.091229_W_region:MX_type:landmark_scale:5000"/>
  </hyperlinks>
  <pageMargins left="0.7" right="0.7" top="0.75" bottom="0.75" header="0.3" footer="0.3"/>
  <legacyDrawing r:id="rId7"/>
</worksheet>
</file>

<file path=xl/worksheets/sheet20.xml><?xml version="1.0" encoding="utf-8"?>
<worksheet xmlns="http://schemas.openxmlformats.org/spreadsheetml/2006/main" xmlns:r="http://schemas.openxmlformats.org/officeDocument/2006/relationships">
  <sheetPr codeName="Hoja24"/>
  <dimension ref="B1:M188"/>
  <sheetViews>
    <sheetView workbookViewId="0">
      <selection activeCell="H31" sqref="B31:H31"/>
    </sheetView>
  </sheetViews>
  <sheetFormatPr baseColWidth="10" defaultRowHeight="15"/>
  <cols>
    <col min="1" max="1" width="3" customWidth="1"/>
    <col min="2" max="2" width="4.42578125" bestFit="1" customWidth="1"/>
    <col min="3" max="3" width="23.7109375" bestFit="1" customWidth="1"/>
    <col min="4" max="4" width="21.28515625" bestFit="1" customWidth="1"/>
    <col min="5" max="5" width="11" bestFit="1" customWidth="1"/>
    <col min="6" max="6" width="22.42578125" bestFit="1" customWidth="1"/>
    <col min="7" max="7" width="36.5703125" bestFit="1" customWidth="1"/>
    <col min="8" max="8" width="100.28515625" customWidth="1"/>
    <col min="9" max="9" width="27.28515625" customWidth="1"/>
    <col min="10" max="10" width="30.140625" customWidth="1"/>
  </cols>
  <sheetData>
    <row r="1" spans="2:9">
      <c r="C1" s="109" t="s">
        <v>861</v>
      </c>
      <c r="D1" s="110"/>
      <c r="E1" s="110"/>
      <c r="F1" s="110"/>
      <c r="G1" s="110"/>
      <c r="H1" s="110"/>
    </row>
    <row r="2" spans="2:9" ht="15.75" thickBot="1"/>
    <row r="3" spans="2:9" s="22" customFormat="1" ht="16.5" thickBot="1">
      <c r="B3" s="78">
        <f>MAX(B5:B1048576)</f>
        <v>67</v>
      </c>
      <c r="C3" s="33" t="s">
        <v>2</v>
      </c>
      <c r="D3" s="34" t="s">
        <v>1</v>
      </c>
      <c r="E3" s="34" t="s">
        <v>862</v>
      </c>
      <c r="F3" s="34" t="s">
        <v>863</v>
      </c>
      <c r="G3" s="34" t="s">
        <v>864</v>
      </c>
      <c r="H3" s="35" t="s">
        <v>358</v>
      </c>
    </row>
    <row r="4" spans="2:9" s="25" customFormat="1" ht="9" customHeight="1">
      <c r="B4" s="46"/>
      <c r="C4" s="37"/>
      <c r="D4" s="37"/>
      <c r="E4" s="37"/>
      <c r="F4" s="37"/>
      <c r="G4" s="38"/>
      <c r="H4" s="39"/>
    </row>
    <row r="5" spans="2:9" s="25" customFormat="1" ht="15.75">
      <c r="B5" s="40">
        <v>1</v>
      </c>
      <c r="C5" s="27" t="s">
        <v>4308</v>
      </c>
      <c r="D5" s="69" t="s">
        <v>178</v>
      </c>
      <c r="E5" s="27"/>
      <c r="F5" s="27" t="s">
        <v>866</v>
      </c>
      <c r="G5" s="26"/>
      <c r="H5" s="41"/>
    </row>
    <row r="6" spans="2:9" s="25" customFormat="1" ht="15.75">
      <c r="B6" s="40">
        <f t="shared" ref="B6:B61" si="0">B5+1</f>
        <v>2</v>
      </c>
      <c r="C6" s="27" t="s">
        <v>4308</v>
      </c>
      <c r="D6" s="69" t="s">
        <v>178</v>
      </c>
      <c r="E6" s="27"/>
      <c r="F6" s="27" t="s">
        <v>1728</v>
      </c>
      <c r="G6" s="26"/>
      <c r="H6" s="41"/>
      <c r="I6" s="50"/>
    </row>
    <row r="7" spans="2:9" s="25" customFormat="1" ht="15.75">
      <c r="B7" s="40">
        <f t="shared" si="0"/>
        <v>3</v>
      </c>
      <c r="C7" s="27" t="s">
        <v>4308</v>
      </c>
      <c r="D7" s="69" t="s">
        <v>178</v>
      </c>
      <c r="E7" s="27"/>
      <c r="F7" s="27" t="s">
        <v>1333</v>
      </c>
      <c r="G7" s="27"/>
      <c r="H7" s="42"/>
    </row>
    <row r="8" spans="2:9" s="25" customFormat="1" ht="15.75">
      <c r="B8" s="40">
        <f t="shared" si="0"/>
        <v>4</v>
      </c>
      <c r="C8" s="27" t="s">
        <v>4308</v>
      </c>
      <c r="D8" s="69" t="s">
        <v>178</v>
      </c>
      <c r="E8" s="27"/>
      <c r="F8" s="27" t="s">
        <v>1333</v>
      </c>
      <c r="G8" s="27"/>
      <c r="H8" s="42"/>
    </row>
    <row r="9" spans="2:9" s="25" customFormat="1" ht="15.75">
      <c r="B9" s="40">
        <f t="shared" si="0"/>
        <v>5</v>
      </c>
      <c r="C9" s="27" t="s">
        <v>4308</v>
      </c>
      <c r="D9" s="69" t="s">
        <v>178</v>
      </c>
      <c r="E9" s="27"/>
      <c r="F9" s="27" t="s">
        <v>1333</v>
      </c>
      <c r="G9" s="27"/>
      <c r="H9" s="51"/>
    </row>
    <row r="10" spans="2:9" s="25" customFormat="1" ht="15.75">
      <c r="B10" s="40">
        <f t="shared" si="0"/>
        <v>6</v>
      </c>
      <c r="C10" s="27" t="s">
        <v>4308</v>
      </c>
      <c r="D10" s="69" t="s">
        <v>178</v>
      </c>
      <c r="E10" s="27"/>
      <c r="F10" s="27"/>
      <c r="G10" s="49"/>
      <c r="H10" s="51"/>
    </row>
    <row r="11" spans="2:9" s="25" customFormat="1" ht="9" customHeight="1" thickBot="1">
      <c r="B11" s="56">
        <f t="shared" si="0"/>
        <v>7</v>
      </c>
      <c r="C11" s="54"/>
      <c r="D11" s="54"/>
      <c r="E11" s="54"/>
      <c r="F11" s="54"/>
      <c r="G11" s="54"/>
      <c r="H11" s="55"/>
    </row>
    <row r="12" spans="2:9" s="25" customFormat="1" ht="9" customHeight="1" thickBot="1">
      <c r="B12" s="23">
        <f t="shared" si="0"/>
        <v>8</v>
      </c>
      <c r="C12" s="37"/>
      <c r="D12" s="37"/>
      <c r="E12" s="37"/>
      <c r="F12" s="37"/>
      <c r="G12" s="38"/>
      <c r="H12" s="39"/>
    </row>
    <row r="13" spans="2:9" s="25" customFormat="1" ht="16.5" thickBot="1">
      <c r="B13" s="40">
        <f t="shared" si="0"/>
        <v>9</v>
      </c>
      <c r="C13" s="27" t="s">
        <v>4308</v>
      </c>
      <c r="D13" s="29" t="s">
        <v>299</v>
      </c>
      <c r="E13" s="27" t="s">
        <v>865</v>
      </c>
      <c r="F13" s="27" t="s">
        <v>866</v>
      </c>
      <c r="G13" s="62"/>
      <c r="H13" s="87" t="s">
        <v>2909</v>
      </c>
    </row>
    <row r="14" spans="2:9" s="25" customFormat="1" ht="16.5" thickBot="1">
      <c r="B14" s="40">
        <f t="shared" si="0"/>
        <v>10</v>
      </c>
      <c r="C14" s="27" t="s">
        <v>4308</v>
      </c>
      <c r="D14" s="29" t="s">
        <v>299</v>
      </c>
      <c r="E14" s="27" t="s">
        <v>865</v>
      </c>
      <c r="F14" s="27" t="s">
        <v>1728</v>
      </c>
      <c r="G14" s="26"/>
      <c r="H14" s="88" t="s">
        <v>3999</v>
      </c>
      <c r="I14" s="50" t="s">
        <v>2906</v>
      </c>
    </row>
    <row r="15" spans="2:9" s="25" customFormat="1" ht="16.5" thickBot="1">
      <c r="B15" s="40">
        <f t="shared" si="0"/>
        <v>11</v>
      </c>
      <c r="C15" s="27" t="s">
        <v>4308</v>
      </c>
      <c r="D15" s="29" t="s">
        <v>299</v>
      </c>
      <c r="E15" s="27" t="s">
        <v>865</v>
      </c>
      <c r="F15" s="27" t="s">
        <v>1333</v>
      </c>
      <c r="G15" s="27" t="s">
        <v>870</v>
      </c>
      <c r="H15" s="88" t="s">
        <v>2907</v>
      </c>
    </row>
    <row r="16" spans="2:9" s="25" customFormat="1" ht="16.5" thickBot="1">
      <c r="B16" s="40">
        <f t="shared" si="0"/>
        <v>12</v>
      </c>
      <c r="C16" s="27" t="s">
        <v>4308</v>
      </c>
      <c r="D16" s="29" t="s">
        <v>299</v>
      </c>
      <c r="E16" s="27" t="s">
        <v>865</v>
      </c>
      <c r="F16" s="27" t="s">
        <v>1333</v>
      </c>
      <c r="G16" s="27" t="s">
        <v>874</v>
      </c>
      <c r="H16" s="88" t="s">
        <v>2908</v>
      </c>
    </row>
    <row r="17" spans="2:9" s="25" customFormat="1" ht="16.5" thickBot="1">
      <c r="B17" s="40">
        <f t="shared" si="0"/>
        <v>13</v>
      </c>
      <c r="C17" s="27" t="s">
        <v>4308</v>
      </c>
      <c r="D17" s="29" t="s">
        <v>299</v>
      </c>
      <c r="E17" s="27" t="s">
        <v>865</v>
      </c>
      <c r="F17" s="27"/>
      <c r="G17" s="27" t="s">
        <v>3675</v>
      </c>
      <c r="H17" s="88" t="s">
        <v>4000</v>
      </c>
    </row>
    <row r="18" spans="2:9" s="25" customFormat="1" ht="9" customHeight="1" thickBot="1">
      <c r="B18" s="56">
        <f t="shared" si="0"/>
        <v>14</v>
      </c>
      <c r="C18" s="57"/>
      <c r="D18" s="57"/>
      <c r="E18" s="57"/>
      <c r="F18" s="57"/>
      <c r="G18" s="57"/>
      <c r="H18" s="94"/>
    </row>
    <row r="19" spans="2:9" s="25" customFormat="1" ht="9" customHeight="1" thickBot="1">
      <c r="B19" s="23">
        <f t="shared" si="0"/>
        <v>15</v>
      </c>
      <c r="C19" s="37"/>
      <c r="D19" s="37"/>
      <c r="E19" s="37"/>
      <c r="F19" s="37"/>
      <c r="G19" s="38"/>
      <c r="H19" s="94"/>
    </row>
    <row r="20" spans="2:9" s="25" customFormat="1" ht="16.5" thickBot="1">
      <c r="B20" s="40">
        <f t="shared" si="0"/>
        <v>16</v>
      </c>
      <c r="C20" s="27" t="s">
        <v>4308</v>
      </c>
      <c r="D20" s="29" t="s">
        <v>300</v>
      </c>
      <c r="E20" s="27" t="s">
        <v>865</v>
      </c>
      <c r="F20" s="27" t="s">
        <v>866</v>
      </c>
      <c r="G20" s="26"/>
      <c r="H20" s="88" t="s">
        <v>2911</v>
      </c>
    </row>
    <row r="21" spans="2:9" s="25" customFormat="1" ht="16.5" thickBot="1">
      <c r="B21" s="40">
        <f t="shared" si="0"/>
        <v>17</v>
      </c>
      <c r="C21" s="27" t="s">
        <v>4308</v>
      </c>
      <c r="D21" s="29" t="s">
        <v>300</v>
      </c>
      <c r="E21" s="27" t="s">
        <v>865</v>
      </c>
      <c r="F21" s="27" t="s">
        <v>1728</v>
      </c>
      <c r="G21" s="26"/>
      <c r="H21" s="88" t="s">
        <v>4001</v>
      </c>
      <c r="I21" s="50" t="s">
        <v>2910</v>
      </c>
    </row>
    <row r="22" spans="2:9" s="25" customFormat="1" ht="16.5" thickBot="1">
      <c r="B22" s="40">
        <f t="shared" si="0"/>
        <v>18</v>
      </c>
      <c r="C22" s="27" t="s">
        <v>4308</v>
      </c>
      <c r="D22" s="29" t="s">
        <v>300</v>
      </c>
      <c r="E22" s="27" t="s">
        <v>865</v>
      </c>
      <c r="F22" s="27" t="s">
        <v>1333</v>
      </c>
      <c r="G22" s="27" t="s">
        <v>874</v>
      </c>
      <c r="H22" s="88" t="s">
        <v>2912</v>
      </c>
    </row>
    <row r="23" spans="2:9" s="25" customFormat="1" ht="16.5" thickBot="1">
      <c r="B23" s="40">
        <f t="shared" si="0"/>
        <v>19</v>
      </c>
      <c r="C23" s="27" t="s">
        <v>4308</v>
      </c>
      <c r="D23" s="29" t="s">
        <v>300</v>
      </c>
      <c r="E23" s="27" t="s">
        <v>865</v>
      </c>
      <c r="F23" s="27" t="s">
        <v>1333</v>
      </c>
      <c r="G23" s="27" t="s">
        <v>870</v>
      </c>
      <c r="H23" s="88" t="s">
        <v>2913</v>
      </c>
    </row>
    <row r="24" spans="2:9" s="25" customFormat="1" ht="16.5" thickBot="1">
      <c r="B24" s="40">
        <f t="shared" si="0"/>
        <v>20</v>
      </c>
      <c r="C24" s="27" t="s">
        <v>4308</v>
      </c>
      <c r="D24" s="29" t="s">
        <v>300</v>
      </c>
      <c r="E24" s="27" t="s">
        <v>865</v>
      </c>
      <c r="F24" s="27"/>
      <c r="G24" s="49" t="s">
        <v>2914</v>
      </c>
      <c r="H24" s="101" t="s">
        <v>4002</v>
      </c>
    </row>
    <row r="25" spans="2:9" s="25" customFormat="1" ht="9" customHeight="1" thickBot="1">
      <c r="B25" s="23">
        <f t="shared" si="0"/>
        <v>21</v>
      </c>
      <c r="C25" s="43"/>
      <c r="D25" s="43"/>
      <c r="E25" s="43"/>
      <c r="F25" s="43"/>
      <c r="G25" s="43"/>
      <c r="H25" s="96"/>
    </row>
    <row r="26" spans="2:9" s="25" customFormat="1" ht="9" customHeight="1" thickBot="1">
      <c r="B26" s="23">
        <f t="shared" si="0"/>
        <v>22</v>
      </c>
      <c r="C26" s="37"/>
      <c r="D26" s="37"/>
      <c r="E26" s="37"/>
      <c r="F26" s="37"/>
      <c r="G26" s="38"/>
      <c r="H26" s="94"/>
    </row>
    <row r="27" spans="2:9" s="25" customFormat="1" ht="16.5" thickBot="1">
      <c r="B27" s="40">
        <f t="shared" si="0"/>
        <v>23</v>
      </c>
      <c r="C27" s="27" t="s">
        <v>4308</v>
      </c>
      <c r="D27" s="29" t="s">
        <v>301</v>
      </c>
      <c r="E27" s="27" t="s">
        <v>865</v>
      </c>
      <c r="F27" s="27" t="s">
        <v>866</v>
      </c>
      <c r="G27" s="26"/>
      <c r="H27" s="88" t="s">
        <v>4003</v>
      </c>
    </row>
    <row r="28" spans="2:9" s="25" customFormat="1" ht="32.25" thickBot="1">
      <c r="B28" s="40">
        <f t="shared" si="0"/>
        <v>24</v>
      </c>
      <c r="C28" s="27" t="s">
        <v>4308</v>
      </c>
      <c r="D28" s="29" t="s">
        <v>301</v>
      </c>
      <c r="E28" s="27" t="s">
        <v>865</v>
      </c>
      <c r="F28" s="27" t="s">
        <v>1728</v>
      </c>
      <c r="G28" s="26"/>
      <c r="H28" s="89" t="s">
        <v>4004</v>
      </c>
      <c r="I28" s="50" t="s">
        <v>2915</v>
      </c>
    </row>
    <row r="29" spans="2:9" s="25" customFormat="1" ht="16.5" thickBot="1">
      <c r="B29" s="40">
        <f t="shared" si="0"/>
        <v>25</v>
      </c>
      <c r="C29" s="27" t="s">
        <v>4308</v>
      </c>
      <c r="D29" s="29" t="s">
        <v>301</v>
      </c>
      <c r="E29" s="27" t="s">
        <v>865</v>
      </c>
      <c r="F29" s="27" t="s">
        <v>1333</v>
      </c>
      <c r="G29" s="27" t="s">
        <v>870</v>
      </c>
      <c r="H29" s="89" t="s">
        <v>2916</v>
      </c>
    </row>
    <row r="30" spans="2:9" s="25" customFormat="1" ht="16.5" thickBot="1">
      <c r="B30" s="40">
        <f t="shared" si="0"/>
        <v>26</v>
      </c>
      <c r="C30" s="27" t="s">
        <v>4308</v>
      </c>
      <c r="D30" s="29" t="s">
        <v>301</v>
      </c>
      <c r="E30" s="27" t="s">
        <v>865</v>
      </c>
      <c r="F30" s="27" t="s">
        <v>1333</v>
      </c>
      <c r="G30" s="27" t="s">
        <v>874</v>
      </c>
      <c r="H30" s="89" t="s">
        <v>2917</v>
      </c>
    </row>
    <row r="31" spans="2:9" s="25" customFormat="1" ht="16.5" thickBot="1">
      <c r="B31" s="40">
        <f t="shared" si="0"/>
        <v>27</v>
      </c>
      <c r="C31" s="27" t="s">
        <v>4308</v>
      </c>
      <c r="D31" s="71" t="s">
        <v>301</v>
      </c>
      <c r="E31" s="27" t="s">
        <v>880</v>
      </c>
      <c r="F31" s="27" t="s">
        <v>1780</v>
      </c>
      <c r="G31" s="27" t="s">
        <v>2944</v>
      </c>
      <c r="H31" s="104" t="s">
        <v>4262</v>
      </c>
    </row>
    <row r="32" spans="2:9" s="25" customFormat="1" ht="9" customHeight="1" thickBot="1">
      <c r="B32" s="23">
        <f t="shared" si="0"/>
        <v>28</v>
      </c>
      <c r="C32" s="43"/>
      <c r="D32" s="43"/>
      <c r="E32" s="43"/>
      <c r="F32" s="43"/>
      <c r="G32" s="43"/>
      <c r="H32" s="94"/>
    </row>
    <row r="33" spans="2:9" s="25" customFormat="1" ht="9" customHeight="1" thickBot="1">
      <c r="B33" s="23">
        <f t="shared" si="0"/>
        <v>29</v>
      </c>
      <c r="C33" s="37"/>
      <c r="D33" s="37"/>
      <c r="E33" s="37"/>
      <c r="F33" s="37"/>
      <c r="G33" s="38"/>
      <c r="H33" s="94"/>
    </row>
    <row r="34" spans="2:9" s="25" customFormat="1" ht="16.5" thickBot="1">
      <c r="B34" s="40">
        <f t="shared" si="0"/>
        <v>30</v>
      </c>
      <c r="C34" s="27" t="s">
        <v>4308</v>
      </c>
      <c r="D34" s="29" t="s">
        <v>302</v>
      </c>
      <c r="E34" s="27" t="s">
        <v>865</v>
      </c>
      <c r="F34" s="27" t="s">
        <v>866</v>
      </c>
      <c r="G34" s="26"/>
      <c r="H34" s="88" t="s">
        <v>2919</v>
      </c>
    </row>
    <row r="35" spans="2:9" s="25" customFormat="1" ht="16.5" thickBot="1">
      <c r="B35" s="40">
        <f t="shared" si="0"/>
        <v>31</v>
      </c>
      <c r="C35" s="27" t="s">
        <v>4308</v>
      </c>
      <c r="D35" s="29" t="s">
        <v>302</v>
      </c>
      <c r="E35" s="27" t="s">
        <v>865</v>
      </c>
      <c r="F35" s="27" t="s">
        <v>1728</v>
      </c>
      <c r="G35" s="26"/>
      <c r="H35" s="88" t="s">
        <v>4006</v>
      </c>
      <c r="I35" s="50" t="s">
        <v>2918</v>
      </c>
    </row>
    <row r="36" spans="2:9" s="25" customFormat="1" ht="16.5" thickBot="1">
      <c r="B36" s="40">
        <f t="shared" si="0"/>
        <v>32</v>
      </c>
      <c r="C36" s="27" t="s">
        <v>4308</v>
      </c>
      <c r="D36" s="29" t="s">
        <v>302</v>
      </c>
      <c r="E36" s="27" t="s">
        <v>865</v>
      </c>
      <c r="F36" s="27" t="s">
        <v>1333</v>
      </c>
      <c r="G36" s="27" t="s">
        <v>870</v>
      </c>
      <c r="H36" s="89" t="s">
        <v>2920</v>
      </c>
    </row>
    <row r="37" spans="2:9" s="25" customFormat="1" ht="16.5" thickBot="1">
      <c r="B37" s="40">
        <f t="shared" si="0"/>
        <v>33</v>
      </c>
      <c r="C37" s="27" t="s">
        <v>4308</v>
      </c>
      <c r="D37" s="29" t="s">
        <v>302</v>
      </c>
      <c r="E37" s="27" t="s">
        <v>865</v>
      </c>
      <c r="F37" s="27" t="s">
        <v>1333</v>
      </c>
      <c r="G37" s="27" t="s">
        <v>874</v>
      </c>
      <c r="H37" s="89" t="s">
        <v>2921</v>
      </c>
    </row>
    <row r="38" spans="2:9" s="25" customFormat="1" ht="32.25" thickBot="1">
      <c r="B38" s="40">
        <f t="shared" si="0"/>
        <v>34</v>
      </c>
      <c r="C38" s="27" t="s">
        <v>4308</v>
      </c>
      <c r="D38" s="29" t="s">
        <v>302</v>
      </c>
      <c r="E38" s="27" t="s">
        <v>865</v>
      </c>
      <c r="F38" s="27"/>
      <c r="G38" s="49" t="s">
        <v>3673</v>
      </c>
      <c r="H38" s="90" t="s">
        <v>3677</v>
      </c>
    </row>
    <row r="39" spans="2:9" s="25" customFormat="1" ht="16.5" thickBot="1">
      <c r="B39" s="40">
        <f t="shared" si="0"/>
        <v>35</v>
      </c>
      <c r="C39" s="27" t="s">
        <v>4308</v>
      </c>
      <c r="D39" s="29" t="s">
        <v>302</v>
      </c>
      <c r="E39" s="27" t="s">
        <v>865</v>
      </c>
      <c r="F39" s="27"/>
      <c r="G39" s="49" t="s">
        <v>3674</v>
      </c>
      <c r="H39" s="95" t="s">
        <v>3676</v>
      </c>
    </row>
    <row r="40" spans="2:9" s="25" customFormat="1" ht="9" customHeight="1" thickBot="1">
      <c r="B40" s="23">
        <f t="shared" si="0"/>
        <v>36</v>
      </c>
      <c r="C40" s="43"/>
      <c r="D40" s="43"/>
      <c r="E40" s="43"/>
      <c r="F40" s="43"/>
      <c r="G40" s="43"/>
      <c r="H40" s="96"/>
    </row>
    <row r="41" spans="2:9" s="25" customFormat="1" ht="9" customHeight="1" thickBot="1">
      <c r="B41" s="23">
        <f t="shared" si="0"/>
        <v>37</v>
      </c>
      <c r="C41" s="37"/>
      <c r="D41" s="37"/>
      <c r="E41" s="37"/>
      <c r="F41" s="37"/>
      <c r="G41" s="38"/>
      <c r="H41" s="94"/>
    </row>
    <row r="42" spans="2:9" s="25" customFormat="1" ht="16.5" thickBot="1">
      <c r="B42" s="40">
        <f t="shared" si="0"/>
        <v>38</v>
      </c>
      <c r="C42" s="27" t="s">
        <v>4308</v>
      </c>
      <c r="D42" s="29" t="s">
        <v>303</v>
      </c>
      <c r="E42" s="27" t="s">
        <v>865</v>
      </c>
      <c r="F42" s="27" t="s">
        <v>866</v>
      </c>
      <c r="G42" s="26"/>
      <c r="H42" s="88" t="s">
        <v>2923</v>
      </c>
    </row>
    <row r="43" spans="2:9" s="25" customFormat="1" ht="16.5" thickBot="1">
      <c r="B43" s="40">
        <f t="shared" si="0"/>
        <v>39</v>
      </c>
      <c r="C43" s="27" t="s">
        <v>4308</v>
      </c>
      <c r="D43" s="29" t="s">
        <v>303</v>
      </c>
      <c r="E43" s="27" t="s">
        <v>865</v>
      </c>
      <c r="F43" s="27" t="s">
        <v>1728</v>
      </c>
      <c r="G43" s="26"/>
      <c r="H43" s="88" t="s">
        <v>4007</v>
      </c>
      <c r="I43" s="50" t="s">
        <v>2922</v>
      </c>
    </row>
    <row r="44" spans="2:9" s="25" customFormat="1" ht="16.5" thickBot="1">
      <c r="B44" s="40">
        <f t="shared" si="0"/>
        <v>40</v>
      </c>
      <c r="C44" s="27" t="s">
        <v>4308</v>
      </c>
      <c r="D44" s="29" t="s">
        <v>303</v>
      </c>
      <c r="E44" s="27" t="s">
        <v>865</v>
      </c>
      <c r="F44" s="27" t="s">
        <v>1333</v>
      </c>
      <c r="G44" s="27" t="s">
        <v>870</v>
      </c>
      <c r="H44" s="89" t="s">
        <v>2924</v>
      </c>
    </row>
    <row r="45" spans="2:9" s="25" customFormat="1" ht="16.5" thickBot="1">
      <c r="B45" s="40">
        <f t="shared" si="0"/>
        <v>41</v>
      </c>
      <c r="C45" s="27" t="s">
        <v>4308</v>
      </c>
      <c r="D45" s="29" t="s">
        <v>303</v>
      </c>
      <c r="E45" s="27" t="s">
        <v>865</v>
      </c>
      <c r="F45" s="27" t="s">
        <v>1333</v>
      </c>
      <c r="G45" s="27" t="s">
        <v>874</v>
      </c>
      <c r="H45" s="89" t="s">
        <v>2925</v>
      </c>
    </row>
    <row r="46" spans="2:9" s="25" customFormat="1" ht="9" customHeight="1" thickBot="1">
      <c r="B46" s="23">
        <f t="shared" si="0"/>
        <v>42</v>
      </c>
      <c r="C46" s="43"/>
      <c r="D46" s="43"/>
      <c r="E46" s="43"/>
      <c r="F46" s="43"/>
      <c r="G46" s="43"/>
      <c r="H46" s="94"/>
    </row>
    <row r="47" spans="2:9" s="25" customFormat="1" ht="9" customHeight="1" thickBot="1">
      <c r="B47" s="23">
        <f t="shared" si="0"/>
        <v>43</v>
      </c>
      <c r="C47" s="37"/>
      <c r="D47" s="37"/>
      <c r="E47" s="37"/>
      <c r="F47" s="37"/>
      <c r="G47" s="38"/>
      <c r="H47" s="94"/>
    </row>
    <row r="48" spans="2:9" s="25" customFormat="1" ht="16.5" thickBot="1">
      <c r="B48" s="40">
        <f t="shared" si="0"/>
        <v>44</v>
      </c>
      <c r="C48" s="27" t="s">
        <v>4308</v>
      </c>
      <c r="D48" s="71" t="s">
        <v>304</v>
      </c>
      <c r="E48" s="27" t="s">
        <v>865</v>
      </c>
      <c r="F48" s="27" t="s">
        <v>866</v>
      </c>
      <c r="G48" s="26"/>
      <c r="H48" s="88" t="s">
        <v>2927</v>
      </c>
    </row>
    <row r="49" spans="2:9" s="25" customFormat="1" ht="16.5" thickBot="1">
      <c r="B49" s="40">
        <f t="shared" si="0"/>
        <v>45</v>
      </c>
      <c r="C49" s="27" t="s">
        <v>4308</v>
      </c>
      <c r="D49" s="71" t="s">
        <v>304</v>
      </c>
      <c r="E49" s="27" t="s">
        <v>865</v>
      </c>
      <c r="F49" s="27" t="s">
        <v>1728</v>
      </c>
      <c r="G49" s="26"/>
      <c r="H49" s="88" t="s">
        <v>4008</v>
      </c>
      <c r="I49" s="50" t="s">
        <v>2926</v>
      </c>
    </row>
    <row r="50" spans="2:9" s="25" customFormat="1" ht="16.5" thickBot="1">
      <c r="B50" s="40">
        <f t="shared" si="0"/>
        <v>46</v>
      </c>
      <c r="C50" s="27" t="s">
        <v>4308</v>
      </c>
      <c r="D50" s="71" t="s">
        <v>304</v>
      </c>
      <c r="E50" s="27" t="s">
        <v>865</v>
      </c>
      <c r="F50" s="27" t="s">
        <v>1333</v>
      </c>
      <c r="G50" s="27" t="s">
        <v>870</v>
      </c>
      <c r="H50" s="89" t="s">
        <v>2928</v>
      </c>
    </row>
    <row r="51" spans="2:9" s="25" customFormat="1" ht="16.5" thickBot="1">
      <c r="B51" s="40">
        <f t="shared" si="0"/>
        <v>47</v>
      </c>
      <c r="C51" s="27" t="s">
        <v>4308</v>
      </c>
      <c r="D51" s="71" t="s">
        <v>304</v>
      </c>
      <c r="E51" s="27" t="s">
        <v>865</v>
      </c>
      <c r="F51" s="27" t="s">
        <v>1333</v>
      </c>
      <c r="G51" s="27" t="s">
        <v>874</v>
      </c>
      <c r="H51" s="89" t="s">
        <v>4009</v>
      </c>
    </row>
    <row r="52" spans="2:9" s="25" customFormat="1" ht="9" customHeight="1" thickBot="1">
      <c r="B52" s="23">
        <f t="shared" si="0"/>
        <v>48</v>
      </c>
      <c r="C52" s="43"/>
      <c r="D52" s="43"/>
      <c r="E52" s="43"/>
      <c r="F52" s="43"/>
      <c r="G52" s="43"/>
      <c r="H52" s="94"/>
    </row>
    <row r="53" spans="2:9" s="25" customFormat="1" ht="9" customHeight="1" thickBot="1">
      <c r="B53" s="23">
        <f t="shared" si="0"/>
        <v>49</v>
      </c>
      <c r="C53" s="37"/>
      <c r="D53" s="37"/>
      <c r="E53" s="37"/>
      <c r="F53" s="37"/>
      <c r="G53" s="38"/>
      <c r="H53" s="94"/>
    </row>
    <row r="54" spans="2:9" s="25" customFormat="1" ht="16.5" thickBot="1">
      <c r="B54" s="40">
        <f t="shared" si="0"/>
        <v>50</v>
      </c>
      <c r="C54" s="27" t="s">
        <v>4308</v>
      </c>
      <c r="D54" s="29" t="s">
        <v>305</v>
      </c>
      <c r="E54" s="27" t="s">
        <v>865</v>
      </c>
      <c r="F54" s="27" t="s">
        <v>866</v>
      </c>
      <c r="G54" s="26"/>
      <c r="H54" s="88" t="s">
        <v>4010</v>
      </c>
    </row>
    <row r="55" spans="2:9" s="25" customFormat="1" ht="16.5" thickBot="1">
      <c r="B55" s="40">
        <f t="shared" si="0"/>
        <v>51</v>
      </c>
      <c r="C55" s="27" t="s">
        <v>4308</v>
      </c>
      <c r="D55" s="29" t="s">
        <v>305</v>
      </c>
      <c r="E55" s="27" t="s">
        <v>865</v>
      </c>
      <c r="F55" s="27" t="s">
        <v>1728</v>
      </c>
      <c r="G55" s="26"/>
      <c r="H55" s="88" t="s">
        <v>4011</v>
      </c>
      <c r="I55" s="50" t="s">
        <v>2929</v>
      </c>
    </row>
    <row r="56" spans="2:9" s="25" customFormat="1" ht="16.5" thickBot="1">
      <c r="B56" s="40">
        <f t="shared" si="0"/>
        <v>52</v>
      </c>
      <c r="C56" s="27" t="s">
        <v>4308</v>
      </c>
      <c r="D56" s="29" t="s">
        <v>305</v>
      </c>
      <c r="E56" s="27" t="s">
        <v>865</v>
      </c>
      <c r="F56" s="27" t="s">
        <v>1333</v>
      </c>
      <c r="G56" s="27" t="s">
        <v>989</v>
      </c>
      <c r="H56" s="89" t="s">
        <v>2930</v>
      </c>
    </row>
    <row r="57" spans="2:9" s="25" customFormat="1" ht="16.5" thickBot="1">
      <c r="B57" s="40">
        <f t="shared" si="0"/>
        <v>53</v>
      </c>
      <c r="C57" s="27" t="s">
        <v>4308</v>
      </c>
      <c r="D57" s="29" t="s">
        <v>305</v>
      </c>
      <c r="E57" s="27" t="s">
        <v>865</v>
      </c>
      <c r="F57" s="27" t="s">
        <v>1333</v>
      </c>
      <c r="G57" s="27" t="s">
        <v>921</v>
      </c>
      <c r="H57" s="89" t="s">
        <v>2931</v>
      </c>
    </row>
    <row r="58" spans="2:9" s="25" customFormat="1" ht="16.5" thickBot="1">
      <c r="B58" s="40">
        <f t="shared" si="0"/>
        <v>54</v>
      </c>
      <c r="C58" s="27" t="s">
        <v>4308</v>
      </c>
      <c r="D58" s="29" t="s">
        <v>305</v>
      </c>
      <c r="E58" s="27" t="s">
        <v>865</v>
      </c>
      <c r="F58" s="27" t="s">
        <v>1333</v>
      </c>
      <c r="G58" s="27" t="s">
        <v>923</v>
      </c>
      <c r="H58" s="89" t="s">
        <v>2932</v>
      </c>
    </row>
    <row r="59" spans="2:9" s="25" customFormat="1" ht="9" customHeight="1" thickBot="1">
      <c r="B59" s="23">
        <f t="shared" si="0"/>
        <v>55</v>
      </c>
      <c r="C59" s="43"/>
      <c r="D59" s="43"/>
      <c r="E59" s="43"/>
      <c r="F59" s="43"/>
      <c r="G59" s="43"/>
      <c r="H59" s="94"/>
    </row>
    <row r="60" spans="2:9" s="25" customFormat="1" ht="9" customHeight="1" thickBot="1">
      <c r="B60" s="23">
        <f t="shared" si="0"/>
        <v>56</v>
      </c>
      <c r="C60" s="37"/>
      <c r="D60" s="37"/>
      <c r="E60" s="37"/>
      <c r="F60" s="37"/>
      <c r="G60" s="38"/>
      <c r="H60" s="94"/>
    </row>
    <row r="61" spans="2:9" s="25" customFormat="1" ht="16.5" thickBot="1">
      <c r="B61" s="40">
        <f t="shared" si="0"/>
        <v>57</v>
      </c>
      <c r="C61" s="27" t="s">
        <v>4308</v>
      </c>
      <c r="D61" s="71" t="s">
        <v>306</v>
      </c>
      <c r="E61" s="27" t="s">
        <v>865</v>
      </c>
      <c r="F61" s="27" t="s">
        <v>866</v>
      </c>
      <c r="G61" s="26"/>
      <c r="H61" s="89" t="s">
        <v>2934</v>
      </c>
    </row>
    <row r="62" spans="2:9" s="25" customFormat="1" ht="16.5" thickBot="1">
      <c r="B62" s="40">
        <f t="shared" ref="B62:B71" si="1">B61+1</f>
        <v>58</v>
      </c>
      <c r="C62" s="27" t="s">
        <v>4308</v>
      </c>
      <c r="D62" s="71" t="s">
        <v>306</v>
      </c>
      <c r="E62" s="27" t="s">
        <v>865</v>
      </c>
      <c r="F62" s="27" t="s">
        <v>1728</v>
      </c>
      <c r="G62" s="26"/>
      <c r="H62" s="88" t="s">
        <v>4012</v>
      </c>
      <c r="I62" s="50" t="s">
        <v>2933</v>
      </c>
    </row>
    <row r="63" spans="2:9" s="25" customFormat="1" ht="16.5" thickBot="1">
      <c r="B63" s="40">
        <f t="shared" si="1"/>
        <v>59</v>
      </c>
      <c r="C63" s="27" t="s">
        <v>4308</v>
      </c>
      <c r="D63" s="71" t="s">
        <v>306</v>
      </c>
      <c r="E63" s="27" t="s">
        <v>865</v>
      </c>
      <c r="F63" s="27" t="s">
        <v>1333</v>
      </c>
      <c r="G63" s="27" t="s">
        <v>870</v>
      </c>
      <c r="H63" s="89" t="s">
        <v>2935</v>
      </c>
    </row>
    <row r="64" spans="2:9" s="25" customFormat="1" ht="16.5" thickBot="1">
      <c r="B64" s="40">
        <f t="shared" si="1"/>
        <v>60</v>
      </c>
      <c r="C64" s="27" t="s">
        <v>4308</v>
      </c>
      <c r="D64" s="71" t="s">
        <v>306</v>
      </c>
      <c r="E64" s="27" t="s">
        <v>865</v>
      </c>
      <c r="F64" s="27" t="s">
        <v>1333</v>
      </c>
      <c r="G64" s="27" t="s">
        <v>874</v>
      </c>
      <c r="H64" s="89" t="s">
        <v>2936</v>
      </c>
    </row>
    <row r="65" spans="2:13" s="25" customFormat="1" ht="9" customHeight="1" thickBot="1">
      <c r="B65" s="23">
        <f t="shared" si="1"/>
        <v>61</v>
      </c>
      <c r="C65" s="43"/>
      <c r="D65" s="43"/>
      <c r="E65" s="43"/>
      <c r="F65" s="43"/>
      <c r="G65" s="43"/>
      <c r="H65" s="94"/>
    </row>
    <row r="66" spans="2:13" s="25" customFormat="1" ht="9" customHeight="1" thickBot="1">
      <c r="B66" s="23">
        <f t="shared" si="1"/>
        <v>62</v>
      </c>
      <c r="C66" s="37"/>
      <c r="D66" s="37"/>
      <c r="E66" s="37"/>
      <c r="F66" s="37"/>
      <c r="G66" s="38"/>
      <c r="H66" s="94"/>
    </row>
    <row r="67" spans="2:13" s="25" customFormat="1" ht="16.5" thickBot="1">
      <c r="B67" s="40">
        <f t="shared" si="1"/>
        <v>63</v>
      </c>
      <c r="C67" s="27" t="s">
        <v>4308</v>
      </c>
      <c r="D67" s="29" t="s">
        <v>182</v>
      </c>
      <c r="E67" s="27" t="s">
        <v>865</v>
      </c>
      <c r="F67" s="27" t="s">
        <v>866</v>
      </c>
      <c r="G67" s="26"/>
      <c r="H67" s="88" t="s">
        <v>2939</v>
      </c>
    </row>
    <row r="68" spans="2:13" s="25" customFormat="1" ht="16.5" thickBot="1">
      <c r="B68" s="40">
        <f t="shared" si="1"/>
        <v>64</v>
      </c>
      <c r="C68" s="27" t="s">
        <v>4308</v>
      </c>
      <c r="D68" s="29" t="s">
        <v>182</v>
      </c>
      <c r="E68" s="27" t="s">
        <v>865</v>
      </c>
      <c r="F68" s="27" t="s">
        <v>1728</v>
      </c>
      <c r="G68" s="26"/>
      <c r="H68" s="88" t="s">
        <v>2937</v>
      </c>
      <c r="I68" s="50" t="s">
        <v>2938</v>
      </c>
    </row>
    <row r="69" spans="2:13" s="25" customFormat="1" ht="16.5" thickBot="1">
      <c r="B69" s="40">
        <f t="shared" si="1"/>
        <v>65</v>
      </c>
      <c r="C69" s="27" t="s">
        <v>4308</v>
      </c>
      <c r="D69" s="29" t="s">
        <v>182</v>
      </c>
      <c r="E69" s="27" t="s">
        <v>865</v>
      </c>
      <c r="F69" s="27" t="s">
        <v>1333</v>
      </c>
      <c r="G69" s="27" t="s">
        <v>870</v>
      </c>
      <c r="H69" s="89" t="s">
        <v>2940</v>
      </c>
    </row>
    <row r="70" spans="2:13" s="25" customFormat="1" ht="16.5" thickBot="1">
      <c r="B70" s="40">
        <f t="shared" si="1"/>
        <v>66</v>
      </c>
      <c r="C70" s="27" t="s">
        <v>4308</v>
      </c>
      <c r="D70" s="29" t="s">
        <v>182</v>
      </c>
      <c r="E70" s="27" t="s">
        <v>865</v>
      </c>
      <c r="F70" s="27" t="s">
        <v>1333</v>
      </c>
      <c r="G70" s="27" t="s">
        <v>874</v>
      </c>
      <c r="H70" s="89" t="s">
        <v>2941</v>
      </c>
    </row>
    <row r="71" spans="2:13" s="25" customFormat="1" ht="9" customHeight="1" thickBot="1">
      <c r="B71" s="23">
        <f t="shared" si="1"/>
        <v>67</v>
      </c>
      <c r="C71" s="43"/>
      <c r="D71" s="43"/>
      <c r="E71" s="43"/>
      <c r="F71" s="43"/>
      <c r="G71" s="43"/>
      <c r="H71" s="44"/>
    </row>
    <row r="72" spans="2:13" ht="16.5" thickBot="1">
      <c r="E72" s="25"/>
      <c r="K72" s="10"/>
    </row>
    <row r="73" spans="2:13" ht="15.75" thickBot="1">
      <c r="C73" s="111"/>
      <c r="D73" s="112"/>
      <c r="F73" s="111"/>
      <c r="G73" s="113"/>
      <c r="H73" s="113"/>
      <c r="I73" s="113"/>
      <c r="J73" s="112"/>
    </row>
    <row r="74" spans="2:13">
      <c r="C74" s="72" t="s">
        <v>299</v>
      </c>
      <c r="D74" s="73" t="s">
        <v>4060</v>
      </c>
      <c r="F74" s="72" t="s">
        <v>2944</v>
      </c>
      <c r="G74" s="76" t="s">
        <v>301</v>
      </c>
      <c r="H74" s="76" t="s">
        <v>2643</v>
      </c>
      <c r="I74" s="76" t="s">
        <v>4005</v>
      </c>
      <c r="J74" s="73" t="s">
        <v>1780</v>
      </c>
      <c r="L74" t="s">
        <v>178</v>
      </c>
      <c r="M74" t="s">
        <v>4057</v>
      </c>
    </row>
    <row r="75" spans="2:13">
      <c r="C75" s="72" t="s">
        <v>299</v>
      </c>
      <c r="D75" s="73" t="s">
        <v>4061</v>
      </c>
      <c r="F75" s="72"/>
      <c r="G75" s="76"/>
      <c r="H75" s="76"/>
      <c r="I75" s="76"/>
      <c r="J75" s="73"/>
      <c r="L75" t="s">
        <v>178</v>
      </c>
      <c r="M75" t="s">
        <v>4058</v>
      </c>
    </row>
    <row r="76" spans="2:13">
      <c r="C76" s="72" t="s">
        <v>299</v>
      </c>
      <c r="D76" s="73" t="s">
        <v>4062</v>
      </c>
      <c r="F76" s="72"/>
      <c r="G76" s="76"/>
      <c r="H76" s="76"/>
      <c r="I76" s="76"/>
      <c r="J76" s="73"/>
      <c r="L76" t="s">
        <v>178</v>
      </c>
      <c r="M76" t="s">
        <v>4059</v>
      </c>
    </row>
    <row r="77" spans="2:13">
      <c r="C77" s="72" t="s">
        <v>299</v>
      </c>
      <c r="D77" s="73" t="s">
        <v>4063</v>
      </c>
      <c r="F77" s="72"/>
      <c r="G77" s="76"/>
      <c r="H77" s="76"/>
      <c r="I77" s="76"/>
      <c r="J77" s="73"/>
      <c r="L77" t="s">
        <v>178</v>
      </c>
      <c r="M77" t="s">
        <v>4059</v>
      </c>
    </row>
    <row r="78" spans="2:13">
      <c r="C78" s="72" t="s">
        <v>299</v>
      </c>
      <c r="D78" s="73" t="s">
        <v>4064</v>
      </c>
      <c r="F78" s="72"/>
      <c r="G78" s="76"/>
      <c r="H78" s="76"/>
      <c r="I78" s="76"/>
      <c r="J78" s="73"/>
      <c r="L78" t="s">
        <v>178</v>
      </c>
      <c r="M78" t="s">
        <v>4059</v>
      </c>
    </row>
    <row r="79" spans="2:13">
      <c r="C79" s="72" t="s">
        <v>300</v>
      </c>
      <c r="D79" s="73" t="s">
        <v>4065</v>
      </c>
      <c r="F79" s="72"/>
      <c r="G79" s="76"/>
      <c r="H79" s="76"/>
      <c r="I79" s="76"/>
      <c r="J79" s="73"/>
      <c r="L79" t="s">
        <v>178</v>
      </c>
      <c r="M79" t="s">
        <v>2064</v>
      </c>
    </row>
    <row r="80" spans="2:13">
      <c r="C80" s="72" t="s">
        <v>300</v>
      </c>
      <c r="D80" s="73" t="s">
        <v>4066</v>
      </c>
      <c r="F80" s="72"/>
      <c r="G80" s="76"/>
      <c r="H80" s="76"/>
      <c r="I80" s="76"/>
      <c r="J80" s="73"/>
      <c r="M80" t="s">
        <v>2064</v>
      </c>
    </row>
    <row r="81" spans="3:13">
      <c r="C81" s="72" t="s">
        <v>300</v>
      </c>
      <c r="D81" s="73" t="s">
        <v>4067</v>
      </c>
      <c r="F81" s="72"/>
      <c r="G81" s="76"/>
      <c r="H81" s="76"/>
      <c r="I81" s="76"/>
      <c r="J81" s="73"/>
      <c r="M81" t="s">
        <v>2064</v>
      </c>
    </row>
    <row r="82" spans="3:13">
      <c r="C82" s="72" t="s">
        <v>300</v>
      </c>
      <c r="D82" s="73" t="s">
        <v>4068</v>
      </c>
      <c r="F82" s="72"/>
      <c r="G82" s="76"/>
      <c r="H82" s="76"/>
      <c r="I82" s="76"/>
      <c r="J82" s="73"/>
      <c r="M82" t="s">
        <v>2064</v>
      </c>
    </row>
    <row r="83" spans="3:13">
      <c r="C83" s="72" t="s">
        <v>300</v>
      </c>
      <c r="D83" s="73" t="s">
        <v>4069</v>
      </c>
      <c r="F83" s="72"/>
      <c r="G83" s="76"/>
      <c r="H83" s="76"/>
      <c r="I83" s="76"/>
      <c r="J83" s="73"/>
      <c r="M83" t="s">
        <v>2064</v>
      </c>
    </row>
    <row r="84" spans="3:13">
      <c r="C84" s="72" t="s">
        <v>301</v>
      </c>
      <c r="D84" s="73" t="s">
        <v>4070</v>
      </c>
      <c r="F84" s="72"/>
      <c r="G84" s="76"/>
      <c r="H84" s="76"/>
      <c r="I84" s="76"/>
      <c r="J84" s="73"/>
      <c r="M84" t="s">
        <v>2064</v>
      </c>
    </row>
    <row r="85" spans="3:13">
      <c r="C85" s="72" t="s">
        <v>301</v>
      </c>
      <c r="D85" s="73" t="s">
        <v>4071</v>
      </c>
      <c r="F85" s="72"/>
      <c r="G85" s="76"/>
      <c r="H85" s="76"/>
      <c r="I85" s="76"/>
      <c r="J85" s="73"/>
      <c r="M85" t="s">
        <v>2064</v>
      </c>
    </row>
    <row r="86" spans="3:13">
      <c r="C86" s="72" t="s">
        <v>301</v>
      </c>
      <c r="D86" s="73" t="s">
        <v>4072</v>
      </c>
      <c r="F86" s="72"/>
      <c r="G86" s="76"/>
      <c r="H86" s="76"/>
      <c r="I86" s="76"/>
      <c r="J86" s="73"/>
      <c r="M86" t="s">
        <v>2064</v>
      </c>
    </row>
    <row r="87" spans="3:13">
      <c r="C87" s="72" t="s">
        <v>301</v>
      </c>
      <c r="D87" s="73" t="s">
        <v>4073</v>
      </c>
      <c r="F87" s="72"/>
      <c r="G87" s="76"/>
      <c r="H87" s="76"/>
      <c r="I87" s="76"/>
      <c r="J87" s="73"/>
      <c r="M87" t="s">
        <v>2064</v>
      </c>
    </row>
    <row r="88" spans="3:13">
      <c r="C88" s="72" t="s">
        <v>302</v>
      </c>
      <c r="D88" s="73" t="s">
        <v>4074</v>
      </c>
      <c r="F88" s="72"/>
      <c r="G88" s="76"/>
      <c r="H88" s="76"/>
      <c r="I88" s="76"/>
      <c r="J88" s="73"/>
      <c r="M88" t="s">
        <v>2064</v>
      </c>
    </row>
    <row r="89" spans="3:13">
      <c r="C89" s="72" t="s">
        <v>302</v>
      </c>
      <c r="D89" s="73" t="s">
        <v>4075</v>
      </c>
      <c r="F89" s="72"/>
      <c r="G89" s="76"/>
      <c r="H89" s="76"/>
      <c r="I89" s="76"/>
      <c r="J89" s="73"/>
      <c r="M89" t="s">
        <v>2064</v>
      </c>
    </row>
    <row r="90" spans="3:13">
      <c r="C90" s="72" t="s">
        <v>302</v>
      </c>
      <c r="D90" s="73" t="s">
        <v>4076</v>
      </c>
      <c r="F90" s="72"/>
      <c r="G90" s="76"/>
      <c r="H90" s="76"/>
      <c r="I90" s="76"/>
      <c r="J90" s="73"/>
      <c r="M90" t="s">
        <v>2064</v>
      </c>
    </row>
    <row r="91" spans="3:13">
      <c r="C91" s="72" t="s">
        <v>302</v>
      </c>
      <c r="D91" s="73" t="s">
        <v>4077</v>
      </c>
      <c r="F91" s="72"/>
      <c r="G91" s="76"/>
      <c r="H91" s="76"/>
      <c r="I91" s="76"/>
      <c r="J91" s="73"/>
      <c r="M91" t="s">
        <v>2064</v>
      </c>
    </row>
    <row r="92" spans="3:13">
      <c r="C92" s="72" t="s">
        <v>302</v>
      </c>
      <c r="D92" s="73" t="s">
        <v>4078</v>
      </c>
      <c r="F92" s="72"/>
      <c r="G92" s="76"/>
      <c r="H92" s="76"/>
      <c r="I92" s="76"/>
      <c r="J92" s="73"/>
      <c r="M92" t="s">
        <v>2064</v>
      </c>
    </row>
    <row r="93" spans="3:13">
      <c r="C93" s="72" t="s">
        <v>302</v>
      </c>
      <c r="D93" s="73" t="s">
        <v>4079</v>
      </c>
      <c r="F93" s="72"/>
      <c r="G93" s="76"/>
      <c r="H93" s="76"/>
      <c r="I93" s="76"/>
      <c r="J93" s="73"/>
      <c r="M93" t="s">
        <v>2064</v>
      </c>
    </row>
    <row r="94" spans="3:13">
      <c r="C94" s="72" t="s">
        <v>303</v>
      </c>
      <c r="D94" s="73" t="s">
        <v>4080</v>
      </c>
      <c r="F94" s="72"/>
      <c r="G94" s="76"/>
      <c r="H94" s="76"/>
      <c r="I94" s="76"/>
      <c r="J94" s="73"/>
      <c r="M94" t="s">
        <v>2064</v>
      </c>
    </row>
    <row r="95" spans="3:13">
      <c r="C95" s="72" t="s">
        <v>303</v>
      </c>
      <c r="D95" s="73" t="s">
        <v>4081</v>
      </c>
      <c r="F95" s="72"/>
      <c r="G95" s="76"/>
      <c r="H95" s="76"/>
      <c r="I95" s="76"/>
      <c r="J95" s="73"/>
      <c r="M95" t="s">
        <v>2064</v>
      </c>
    </row>
    <row r="96" spans="3:13">
      <c r="C96" s="72" t="s">
        <v>303</v>
      </c>
      <c r="D96" s="73" t="s">
        <v>4082</v>
      </c>
      <c r="F96" s="72"/>
      <c r="G96" s="76"/>
      <c r="H96" s="76"/>
      <c r="I96" s="76"/>
      <c r="J96" s="73"/>
      <c r="M96" t="s">
        <v>2064</v>
      </c>
    </row>
    <row r="97" spans="3:13">
      <c r="C97" s="72" t="s">
        <v>303</v>
      </c>
      <c r="D97" s="73" t="s">
        <v>4083</v>
      </c>
      <c r="F97" s="72"/>
      <c r="G97" s="76"/>
      <c r="H97" s="76"/>
      <c r="I97" s="76"/>
      <c r="J97" s="73"/>
      <c r="M97" t="s">
        <v>2064</v>
      </c>
    </row>
    <row r="98" spans="3:13">
      <c r="C98" s="72" t="s">
        <v>304</v>
      </c>
      <c r="D98" s="73" t="s">
        <v>4084</v>
      </c>
      <c r="F98" s="72"/>
      <c r="G98" s="76"/>
      <c r="H98" s="76"/>
      <c r="I98" s="76"/>
      <c r="J98" s="73"/>
      <c r="M98" t="s">
        <v>2064</v>
      </c>
    </row>
    <row r="99" spans="3:13">
      <c r="C99" s="72" t="s">
        <v>304</v>
      </c>
      <c r="D99" s="73" t="s">
        <v>4085</v>
      </c>
      <c r="F99" s="72"/>
      <c r="G99" s="76"/>
      <c r="H99" s="76"/>
      <c r="I99" s="76"/>
      <c r="J99" s="73"/>
    </row>
    <row r="100" spans="3:13">
      <c r="C100" s="72" t="s">
        <v>304</v>
      </c>
      <c r="D100" s="73" t="s">
        <v>4086</v>
      </c>
      <c r="F100" s="72"/>
      <c r="G100" s="76"/>
      <c r="H100" s="76"/>
      <c r="I100" s="76"/>
      <c r="J100" s="73"/>
    </row>
    <row r="101" spans="3:13">
      <c r="C101" s="72" t="s">
        <v>304</v>
      </c>
      <c r="D101" s="73" t="s">
        <v>4087</v>
      </c>
      <c r="F101" s="72"/>
      <c r="G101" s="76"/>
      <c r="H101" s="76"/>
      <c r="I101" s="76"/>
      <c r="J101" s="73"/>
    </row>
    <row r="102" spans="3:13">
      <c r="C102" s="72" t="s">
        <v>305</v>
      </c>
      <c r="D102" s="73" t="s">
        <v>4088</v>
      </c>
      <c r="F102" s="72"/>
      <c r="G102" s="76"/>
      <c r="H102" s="76"/>
      <c r="I102" s="76"/>
      <c r="J102" s="73"/>
    </row>
    <row r="103" spans="3:13">
      <c r="C103" s="72" t="s">
        <v>305</v>
      </c>
      <c r="D103" s="73" t="s">
        <v>4089</v>
      </c>
      <c r="F103" s="72"/>
      <c r="G103" s="76"/>
      <c r="H103" s="76"/>
      <c r="I103" s="76"/>
      <c r="J103" s="73"/>
    </row>
    <row r="104" spans="3:13">
      <c r="C104" s="72" t="s">
        <v>305</v>
      </c>
      <c r="D104" s="73" t="s">
        <v>4090</v>
      </c>
      <c r="F104" s="72"/>
      <c r="G104" s="76"/>
      <c r="H104" s="76"/>
      <c r="I104" s="76"/>
      <c r="J104" s="73"/>
    </row>
    <row r="105" spans="3:13">
      <c r="C105" s="72" t="s">
        <v>305</v>
      </c>
      <c r="D105" s="73" t="s">
        <v>4091</v>
      </c>
      <c r="F105" s="72"/>
      <c r="G105" s="76"/>
      <c r="H105" s="76"/>
      <c r="I105" s="76"/>
      <c r="J105" s="73"/>
    </row>
    <row r="106" spans="3:13">
      <c r="C106" s="72" t="s">
        <v>305</v>
      </c>
      <c r="D106" s="73" t="s">
        <v>4092</v>
      </c>
      <c r="F106" s="72"/>
      <c r="G106" s="76"/>
      <c r="H106" s="76"/>
      <c r="I106" s="76"/>
      <c r="J106" s="73"/>
    </row>
    <row r="107" spans="3:13">
      <c r="C107" s="72" t="s">
        <v>306</v>
      </c>
      <c r="D107" s="73" t="s">
        <v>4093</v>
      </c>
      <c r="F107" s="72"/>
      <c r="G107" s="76"/>
      <c r="H107" s="76"/>
      <c r="I107" s="76"/>
      <c r="J107" s="73"/>
    </row>
    <row r="108" spans="3:13">
      <c r="C108" s="72" t="s">
        <v>306</v>
      </c>
      <c r="D108" s="73" t="s">
        <v>4094</v>
      </c>
      <c r="F108" s="72"/>
      <c r="G108" s="76"/>
      <c r="H108" s="76"/>
      <c r="I108" s="76"/>
      <c r="J108" s="73"/>
    </row>
    <row r="109" spans="3:13">
      <c r="C109" s="72" t="s">
        <v>306</v>
      </c>
      <c r="D109" s="73" t="s">
        <v>4095</v>
      </c>
      <c r="F109" s="72"/>
      <c r="G109" s="76"/>
      <c r="H109" s="76"/>
      <c r="I109" s="76"/>
      <c r="J109" s="73"/>
    </row>
    <row r="110" spans="3:13">
      <c r="C110" s="72" t="s">
        <v>306</v>
      </c>
      <c r="D110" s="73" t="s">
        <v>4096</v>
      </c>
      <c r="F110" s="72"/>
      <c r="G110" s="76"/>
      <c r="H110" s="76"/>
      <c r="I110" s="76"/>
      <c r="J110" s="73"/>
    </row>
    <row r="111" spans="3:13">
      <c r="C111" s="72" t="s">
        <v>182</v>
      </c>
      <c r="D111" s="73" t="s">
        <v>4097</v>
      </c>
      <c r="F111" s="72"/>
      <c r="G111" s="76"/>
      <c r="H111" s="76"/>
      <c r="I111" s="76"/>
      <c r="J111" s="73"/>
    </row>
    <row r="112" spans="3:13">
      <c r="C112" s="72" t="s">
        <v>182</v>
      </c>
      <c r="D112" s="73" t="s">
        <v>4098</v>
      </c>
      <c r="F112" s="72"/>
      <c r="G112" s="76"/>
      <c r="H112" s="76"/>
      <c r="I112" s="76"/>
      <c r="J112" s="73"/>
    </row>
    <row r="113" spans="3:10">
      <c r="C113" s="72" t="s">
        <v>182</v>
      </c>
      <c r="D113" s="73" t="s">
        <v>4099</v>
      </c>
      <c r="F113" s="72"/>
      <c r="G113" s="76"/>
      <c r="H113" s="76"/>
      <c r="I113" s="76"/>
      <c r="J113" s="73"/>
    </row>
    <row r="114" spans="3:10">
      <c r="C114" s="72" t="s">
        <v>182</v>
      </c>
      <c r="D114" s="73" t="s">
        <v>4100</v>
      </c>
      <c r="F114" s="72"/>
      <c r="G114" s="76"/>
      <c r="H114" s="76"/>
      <c r="I114" s="76"/>
      <c r="J114" s="73"/>
    </row>
    <row r="115" spans="3:10">
      <c r="C115" s="72"/>
      <c r="D115" s="73"/>
      <c r="F115" s="72"/>
      <c r="G115" s="76"/>
      <c r="H115" s="76"/>
      <c r="I115" s="76"/>
      <c r="J115" s="73"/>
    </row>
    <row r="116" spans="3:10">
      <c r="C116" s="72"/>
      <c r="D116" s="73"/>
      <c r="F116" s="72"/>
      <c r="G116" s="76"/>
      <c r="H116" s="76"/>
      <c r="I116" s="76"/>
      <c r="J116" s="73"/>
    </row>
    <row r="117" spans="3:10">
      <c r="C117" s="72"/>
      <c r="D117" s="73"/>
      <c r="F117" s="72"/>
      <c r="G117" s="76"/>
      <c r="H117" s="76"/>
      <c r="I117" s="76"/>
      <c r="J117" s="73"/>
    </row>
    <row r="118" spans="3:10">
      <c r="C118" s="72"/>
      <c r="D118" s="73"/>
      <c r="F118" s="72"/>
      <c r="G118" s="76"/>
      <c r="H118" s="76"/>
      <c r="I118" s="76"/>
      <c r="J118" s="73"/>
    </row>
    <row r="119" spans="3:10">
      <c r="C119" s="72"/>
      <c r="D119" s="73"/>
      <c r="F119" s="72"/>
      <c r="G119" s="76"/>
      <c r="H119" s="76"/>
      <c r="I119" s="76"/>
      <c r="J119" s="73"/>
    </row>
    <row r="120" spans="3:10">
      <c r="C120" s="72"/>
      <c r="D120" s="73"/>
      <c r="F120" s="72"/>
      <c r="G120" s="76"/>
      <c r="H120" s="76"/>
      <c r="I120" s="76"/>
      <c r="J120" s="73"/>
    </row>
    <row r="121" spans="3:10">
      <c r="C121" s="72"/>
      <c r="D121" s="73"/>
      <c r="F121" s="72"/>
      <c r="G121" s="76"/>
      <c r="H121" s="76"/>
      <c r="I121" s="76"/>
      <c r="J121" s="73"/>
    </row>
    <row r="122" spans="3:10">
      <c r="C122" s="72"/>
      <c r="D122" s="73"/>
      <c r="F122" s="72"/>
      <c r="G122" s="76"/>
      <c r="H122" s="76"/>
      <c r="I122" s="76"/>
      <c r="J122" s="73"/>
    </row>
    <row r="123" spans="3:10">
      <c r="C123" s="72"/>
      <c r="D123" s="73"/>
      <c r="F123" s="72"/>
      <c r="G123" s="76"/>
      <c r="H123" s="76"/>
      <c r="I123" s="76"/>
      <c r="J123" s="73"/>
    </row>
    <row r="124" spans="3:10">
      <c r="C124" s="72"/>
      <c r="D124" s="73"/>
      <c r="F124" s="72"/>
      <c r="G124" s="76"/>
      <c r="H124" s="76"/>
      <c r="I124" s="76"/>
      <c r="J124" s="73"/>
    </row>
    <row r="125" spans="3:10">
      <c r="C125" s="72"/>
      <c r="D125" s="73"/>
      <c r="F125" s="72"/>
      <c r="G125" s="76"/>
      <c r="H125" s="76"/>
      <c r="I125" s="76"/>
      <c r="J125" s="73"/>
    </row>
    <row r="126" spans="3:10">
      <c r="C126" s="72"/>
      <c r="D126" s="73"/>
      <c r="F126" s="72"/>
      <c r="G126" s="76"/>
      <c r="H126" s="76"/>
      <c r="I126" s="76"/>
      <c r="J126" s="73"/>
    </row>
    <row r="127" spans="3:10">
      <c r="C127" s="72"/>
      <c r="D127" s="73"/>
      <c r="F127" s="72"/>
      <c r="G127" s="76"/>
      <c r="H127" s="76"/>
      <c r="I127" s="76"/>
      <c r="J127" s="73"/>
    </row>
    <row r="128" spans="3:10">
      <c r="C128" s="72"/>
      <c r="D128" s="73"/>
      <c r="F128" s="72"/>
      <c r="G128" s="76"/>
      <c r="H128" s="76"/>
      <c r="I128" s="76"/>
      <c r="J128" s="73"/>
    </row>
    <row r="129" spans="3:10">
      <c r="C129" s="72"/>
      <c r="D129" s="73"/>
      <c r="F129" s="72"/>
      <c r="G129" s="76"/>
      <c r="H129" s="76"/>
      <c r="I129" s="76"/>
      <c r="J129" s="73"/>
    </row>
    <row r="130" spans="3:10">
      <c r="C130" s="72"/>
      <c r="D130" s="73"/>
      <c r="F130" s="72"/>
      <c r="G130" s="76"/>
      <c r="H130" s="76"/>
      <c r="I130" s="76"/>
      <c r="J130" s="73"/>
    </row>
    <row r="131" spans="3:10">
      <c r="C131" s="72"/>
      <c r="D131" s="73"/>
      <c r="F131" s="72"/>
      <c r="G131" s="76"/>
      <c r="H131" s="76"/>
      <c r="I131" s="76"/>
      <c r="J131" s="73"/>
    </row>
    <row r="132" spans="3:10">
      <c r="C132" s="72"/>
      <c r="D132" s="73"/>
      <c r="F132" s="72"/>
      <c r="G132" s="76"/>
      <c r="H132" s="76"/>
      <c r="I132" s="76"/>
      <c r="J132" s="73"/>
    </row>
    <row r="133" spans="3:10">
      <c r="C133" s="72"/>
      <c r="D133" s="73"/>
      <c r="F133" s="72"/>
      <c r="G133" s="76"/>
      <c r="H133" s="76"/>
      <c r="I133" s="76"/>
      <c r="J133" s="73"/>
    </row>
    <row r="134" spans="3:10">
      <c r="C134" s="72"/>
      <c r="D134" s="73"/>
      <c r="F134" s="72"/>
      <c r="G134" s="76"/>
      <c r="H134" s="76"/>
      <c r="I134" s="76"/>
      <c r="J134" s="73"/>
    </row>
    <row r="135" spans="3:10">
      <c r="C135" s="72"/>
      <c r="D135" s="73"/>
      <c r="F135" s="72"/>
      <c r="G135" s="76"/>
      <c r="H135" s="76"/>
      <c r="I135" s="76"/>
      <c r="J135" s="73"/>
    </row>
    <row r="136" spans="3:10">
      <c r="C136" s="72"/>
      <c r="D136" s="73"/>
      <c r="F136" s="72"/>
      <c r="G136" s="76"/>
      <c r="H136" s="76"/>
      <c r="I136" s="76"/>
      <c r="J136" s="73"/>
    </row>
    <row r="137" spans="3:10">
      <c r="C137" s="72"/>
      <c r="D137" s="73"/>
      <c r="F137" s="72"/>
      <c r="G137" s="76"/>
      <c r="H137" s="76"/>
      <c r="I137" s="76"/>
      <c r="J137" s="73"/>
    </row>
    <row r="138" spans="3:10">
      <c r="C138" s="72"/>
      <c r="D138" s="73"/>
      <c r="F138" s="72"/>
      <c r="G138" s="76"/>
      <c r="H138" s="76"/>
      <c r="I138" s="76"/>
      <c r="J138" s="73"/>
    </row>
    <row r="139" spans="3:10">
      <c r="C139" s="72"/>
      <c r="D139" s="73"/>
      <c r="F139" s="72"/>
      <c r="G139" s="76"/>
      <c r="H139" s="76"/>
      <c r="I139" s="76"/>
      <c r="J139" s="73"/>
    </row>
    <row r="140" spans="3:10">
      <c r="C140" s="72"/>
      <c r="D140" s="73"/>
      <c r="F140" s="72"/>
      <c r="G140" s="76"/>
      <c r="H140" s="76"/>
      <c r="I140" s="76"/>
      <c r="J140" s="73"/>
    </row>
    <row r="141" spans="3:10">
      <c r="C141" s="72"/>
      <c r="D141" s="73"/>
      <c r="F141" s="72"/>
      <c r="G141" s="76"/>
      <c r="H141" s="76"/>
      <c r="I141" s="76"/>
      <c r="J141" s="73"/>
    </row>
    <row r="142" spans="3:10">
      <c r="C142" s="72"/>
      <c r="D142" s="73"/>
      <c r="F142" s="72"/>
      <c r="G142" s="76"/>
      <c r="H142" s="76"/>
      <c r="I142" s="76"/>
      <c r="J142" s="73"/>
    </row>
    <row r="143" spans="3:10">
      <c r="C143" s="72"/>
      <c r="D143" s="73"/>
      <c r="F143" s="72"/>
      <c r="G143" s="76"/>
      <c r="H143" s="76"/>
      <c r="I143" s="76"/>
      <c r="J143" s="73"/>
    </row>
    <row r="144" spans="3:10">
      <c r="C144" s="72"/>
      <c r="D144" s="73"/>
      <c r="F144" s="72"/>
      <c r="G144" s="76"/>
      <c r="H144" s="76"/>
      <c r="I144" s="76"/>
      <c r="J144" s="73"/>
    </row>
    <row r="145" spans="3:10">
      <c r="C145" s="72"/>
      <c r="D145" s="73"/>
      <c r="F145" s="72"/>
      <c r="G145" s="76"/>
      <c r="H145" s="76"/>
      <c r="I145" s="76"/>
      <c r="J145" s="73"/>
    </row>
    <row r="146" spans="3:10">
      <c r="C146" s="72"/>
      <c r="D146" s="73"/>
      <c r="F146" s="72"/>
      <c r="G146" s="76"/>
      <c r="H146" s="76"/>
      <c r="I146" s="76"/>
      <c r="J146" s="73"/>
    </row>
    <row r="147" spans="3:10">
      <c r="C147" s="72"/>
      <c r="D147" s="73"/>
      <c r="F147" s="72"/>
      <c r="G147" s="76"/>
      <c r="H147" s="76"/>
      <c r="I147" s="76"/>
      <c r="J147" s="73"/>
    </row>
    <row r="148" spans="3:10">
      <c r="C148" s="72"/>
      <c r="D148" s="73"/>
      <c r="F148" s="72"/>
      <c r="G148" s="76"/>
      <c r="H148" s="76"/>
      <c r="I148" s="76"/>
      <c r="J148" s="73"/>
    </row>
    <row r="149" spans="3:10">
      <c r="C149" s="72"/>
      <c r="D149" s="73"/>
      <c r="F149" s="72"/>
      <c r="G149" s="76"/>
      <c r="H149" s="76"/>
      <c r="I149" s="76"/>
      <c r="J149" s="73"/>
    </row>
    <row r="150" spans="3:10">
      <c r="C150" s="72"/>
      <c r="D150" s="73"/>
      <c r="F150" s="72"/>
      <c r="G150" s="76"/>
      <c r="H150" s="76"/>
      <c r="I150" s="76"/>
      <c r="J150" s="73"/>
    </row>
    <row r="151" spans="3:10">
      <c r="C151" s="72"/>
      <c r="D151" s="73"/>
      <c r="F151" s="72"/>
      <c r="G151" s="76"/>
      <c r="H151" s="76"/>
      <c r="I151" s="76"/>
      <c r="J151" s="73"/>
    </row>
    <row r="152" spans="3:10">
      <c r="C152" s="72"/>
      <c r="D152" s="73"/>
      <c r="F152" s="72"/>
      <c r="G152" s="76"/>
      <c r="H152" s="76"/>
      <c r="I152" s="76"/>
      <c r="J152" s="73"/>
    </row>
    <row r="153" spans="3:10">
      <c r="C153" s="72"/>
      <c r="D153" s="73"/>
      <c r="F153" s="72"/>
      <c r="G153" s="76"/>
      <c r="H153" s="76"/>
      <c r="I153" s="76"/>
      <c r="J153" s="73"/>
    </row>
    <row r="154" spans="3:10">
      <c r="C154" s="72"/>
      <c r="D154" s="73"/>
      <c r="F154" s="72"/>
      <c r="G154" s="76"/>
      <c r="H154" s="76"/>
      <c r="I154" s="76"/>
      <c r="J154" s="73"/>
    </row>
    <row r="155" spans="3:10">
      <c r="C155" s="72"/>
      <c r="D155" s="73"/>
      <c r="F155" s="72"/>
      <c r="G155" s="76"/>
      <c r="H155" s="76"/>
      <c r="I155" s="76"/>
      <c r="J155" s="73"/>
    </row>
    <row r="156" spans="3:10" ht="15.75" thickBot="1">
      <c r="C156" s="72"/>
      <c r="D156" s="73"/>
      <c r="F156" s="74"/>
      <c r="G156" s="77"/>
      <c r="H156" s="77"/>
      <c r="I156" s="77"/>
      <c r="J156" s="75"/>
    </row>
    <row r="157" spans="3:10">
      <c r="C157" s="72"/>
      <c r="D157" s="73"/>
    </row>
    <row r="158" spans="3:10">
      <c r="C158" s="72"/>
      <c r="D158" s="73"/>
    </row>
    <row r="159" spans="3:10">
      <c r="C159" s="72"/>
      <c r="D159" s="73"/>
    </row>
    <row r="160" spans="3:10">
      <c r="C160" s="72"/>
      <c r="D160" s="73"/>
    </row>
    <row r="161" spans="3:4">
      <c r="C161" s="72"/>
      <c r="D161" s="73"/>
    </row>
    <row r="162" spans="3:4">
      <c r="C162" s="72"/>
      <c r="D162" s="73"/>
    </row>
    <row r="163" spans="3:4">
      <c r="C163" s="72"/>
      <c r="D163" s="83"/>
    </row>
    <row r="164" spans="3:4">
      <c r="C164" s="72"/>
      <c r="D164" s="73"/>
    </row>
    <row r="165" spans="3:4">
      <c r="C165" s="72"/>
      <c r="D165" s="73"/>
    </row>
    <row r="166" spans="3:4">
      <c r="C166" s="72"/>
      <c r="D166" s="73"/>
    </row>
    <row r="167" spans="3:4">
      <c r="C167" s="72"/>
      <c r="D167" s="73"/>
    </row>
    <row r="168" spans="3:4">
      <c r="C168" s="72"/>
      <c r="D168" s="73"/>
    </row>
    <row r="169" spans="3:4">
      <c r="C169" s="72"/>
      <c r="D169" s="73"/>
    </row>
    <row r="170" spans="3:4">
      <c r="C170" s="72"/>
      <c r="D170" s="73"/>
    </row>
    <row r="171" spans="3:4">
      <c r="C171" s="72"/>
      <c r="D171" s="73"/>
    </row>
    <row r="172" spans="3:4">
      <c r="C172" s="72"/>
      <c r="D172" s="73"/>
    </row>
    <row r="173" spans="3:4">
      <c r="C173" s="72"/>
      <c r="D173" s="73"/>
    </row>
    <row r="174" spans="3:4">
      <c r="C174" s="72"/>
      <c r="D174" s="73"/>
    </row>
    <row r="175" spans="3:4">
      <c r="C175" s="72"/>
      <c r="D175" s="73"/>
    </row>
    <row r="176" spans="3:4">
      <c r="C176" s="72"/>
      <c r="D176" s="73"/>
    </row>
    <row r="177" spans="3:4">
      <c r="C177" s="72"/>
      <c r="D177" s="73"/>
    </row>
    <row r="178" spans="3:4">
      <c r="C178" s="72"/>
      <c r="D178" s="73"/>
    </row>
    <row r="179" spans="3:4">
      <c r="C179" s="72"/>
      <c r="D179" s="73"/>
    </row>
    <row r="180" spans="3:4">
      <c r="C180" s="72"/>
      <c r="D180" s="73"/>
    </row>
    <row r="181" spans="3:4">
      <c r="C181" s="72"/>
      <c r="D181" s="73"/>
    </row>
    <row r="182" spans="3:4">
      <c r="C182" s="72"/>
      <c r="D182" s="73"/>
    </row>
    <row r="183" spans="3:4">
      <c r="C183" s="72"/>
      <c r="D183" s="73"/>
    </row>
    <row r="184" spans="3:4">
      <c r="C184" s="72"/>
      <c r="D184" s="73"/>
    </row>
    <row r="185" spans="3:4">
      <c r="C185" s="72"/>
      <c r="D185" s="73"/>
    </row>
    <row r="186" spans="3:4">
      <c r="C186" s="72"/>
      <c r="D186" s="73"/>
    </row>
    <row r="187" spans="3:4">
      <c r="C187" s="72"/>
      <c r="D187" s="73"/>
    </row>
    <row r="188" spans="3:4" ht="15.75" thickBot="1">
      <c r="C188" s="74"/>
      <c r="D188" s="75"/>
    </row>
  </sheetData>
  <mergeCells count="3">
    <mergeCell ref="C1:H1"/>
    <mergeCell ref="C73:D73"/>
    <mergeCell ref="F73:J73"/>
  </mergeCells>
  <dataValidations count="5">
    <dataValidation type="custom" allowBlank="1" showInputMessage="1" showErrorMessage="1" sqref="E71 E59:E60 E46:E47 E25:E26 E32:E33 E40:E41 E52:E53 E65:E66 E18:E19 E11:E12 E3:E4">
      <formula1>"Referencia,Servicios"</formula1>
    </dataValidation>
    <dataValidation type="list" allowBlank="1" showInputMessage="1" showErrorMessage="1" sqref="C54:C58 C48:C51 C42:C45 C20:C24 C34:C39 C27:C31 C61:C64 C13:C17 C5:C10 C67:C70">
      <formula1>Grupo</formula1>
    </dataValidation>
    <dataValidation type="list" allowBlank="1" showInputMessage="1" showErrorMessage="1" sqref="D67:D70 D61:D64 D48:D51 D27:D31 D42:D45 D34:D39 D54:D58 D20:D24 D13:D17 D5:D10">
      <formula1>Estaciones</formula1>
    </dataValidation>
    <dataValidation type="list" allowBlank="1" showInputMessage="1" showErrorMessage="1" sqref="F67:F70 F61:F64 F48:F51 F27:F31 F34:F39 F42:F45 F54:F58 F20:F24 F5:F10 F13:F17">
      <formula1>Clase</formula1>
    </dataValidation>
    <dataValidation type="list" allowBlank="1" showInputMessage="1" showErrorMessage="1" sqref="E67:E70 E61:E64 E48:E51 E27:E31 E34:E39 E42:E45 E54:E58 E20:E24 E13:E17 E5:E10">
      <formula1>"Servicios,Referencia"</formula1>
    </dataValidation>
  </dataValidations>
  <hyperlinks>
    <hyperlink ref="I14" r:id="rId1" display="http://toolserver.org/~geohack/geohack.php?pagename=Agr%C3%ADcola_Oriental_(estaci%C3%B3n)&amp;language=es&amp;params=19.404835_N_99.069901_W_region:MX_type:landmark_scale:5000"/>
    <hyperlink ref="I21" r:id="rId2" display="http://toolserver.org/~geohack/geohack.php?pagename=Canal_de_San_Juan_(estaci%C3%B3n)&amp;language=es&amp;params=19.398683_N_99.059365_W_region:MX_type:landmark_scale:5000"/>
    <hyperlink ref="I28" r:id="rId3" display="http://toolserver.org/~geohack/geohack.php?pagename=Tepalcates_(estaci%C3%B3n)&amp;language=es&amp;params=19.391335_N_99.046383_W_region:MX_type:landmark_scale:5000"/>
    <hyperlink ref="I35" r:id="rId4" display="http://toolserver.org/~geohack/geohack.php?pagename=Guelatao_(estaci%C3%B3n)&amp;language=es&amp;params=19.385162_N_99.03574_W_region:MX_type:landmark_scale:5000"/>
    <hyperlink ref="I43" r:id="rId5" display="http://toolserver.org/~geohack/geohack.php?pagename=Pe%C3%B1%C3%B3n_Viejo_(estaci%C3%B3n)&amp;language=es&amp;params=19.37332_N_99.017093_W_region:MX_type:landmark_scale:5000"/>
    <hyperlink ref="I49" r:id="rId6" display="http://toolserver.org/~geohack/geohack.php?pagename=Acatitla_(estaci%C3%B3n)&amp;language=es&amp;params=19.364737_N_99.005892_W_region:MX_type:landmark_scale:5000"/>
    <hyperlink ref="I55" r:id="rId7" display="http://toolserver.org/~geohack/geohack.php?pagename=Santa_Marta_(estaci%C3%B3n)&amp;language=es&amp;params=19.36_N_98.994863_W_region:MX_type:landmark_scale:5000"/>
    <hyperlink ref="I62" r:id="rId8" display="http://toolserver.org/~geohack/geohack.php?pagename=Los_Reyes_(estaci%C3%B3n)&amp;language=es&amp;params=19.358968_N_98.976903_W_region:MX_type:landmark_scale:5000"/>
    <hyperlink ref="I68" r:id="rId9" display="http://toolserver.org/~geohack/geohack.php?pagename=La_Paz_(estaci%C3%B3n)&amp;language=es&amp;params=19.350526_N_98.960745_W_region:MX_type:landmark_scale:5000"/>
  </hyperlinks>
  <pageMargins left="0.7" right="0.7" top="0.75" bottom="0.75" header="0.3" footer="0.3"/>
  <legacyDrawing r:id="rId10"/>
</worksheet>
</file>

<file path=xl/worksheets/sheet21.xml><?xml version="1.0" encoding="utf-8"?>
<worksheet xmlns="http://schemas.openxmlformats.org/spreadsheetml/2006/main" xmlns:r="http://schemas.openxmlformats.org/officeDocument/2006/relationships">
  <sheetPr codeName="Hoja14"/>
  <dimension ref="A1:M478"/>
  <sheetViews>
    <sheetView workbookViewId="0">
      <selection activeCell="G238" sqref="G238"/>
    </sheetView>
  </sheetViews>
  <sheetFormatPr baseColWidth="10" defaultRowHeight="15"/>
  <cols>
    <col min="1" max="1" width="3" customWidth="1"/>
    <col min="2" max="2" width="4.42578125" bestFit="1" customWidth="1"/>
    <col min="3" max="3" width="20" bestFit="1" customWidth="1"/>
    <col min="4" max="4" width="21.28515625" bestFit="1" customWidth="1"/>
    <col min="5" max="5" width="11" bestFit="1" customWidth="1"/>
    <col min="6" max="6" width="22.42578125" bestFit="1" customWidth="1"/>
    <col min="7" max="7" width="36.5703125" bestFit="1" customWidth="1"/>
    <col min="8" max="8" width="99.5703125" customWidth="1"/>
  </cols>
  <sheetData>
    <row r="1" spans="2:9">
      <c r="C1" s="109" t="s">
        <v>861</v>
      </c>
      <c r="D1" s="110"/>
      <c r="E1" s="110"/>
      <c r="F1" s="110"/>
      <c r="G1" s="110"/>
      <c r="H1" s="110"/>
    </row>
    <row r="2" spans="2:9" ht="15.75" thickBot="1"/>
    <row r="3" spans="2:9" s="22" customFormat="1" ht="16.5" thickBot="1">
      <c r="B3" s="22">
        <f>MAX(B5:B1048576)</f>
        <v>236</v>
      </c>
      <c r="C3" s="33" t="s">
        <v>2</v>
      </c>
      <c r="D3" s="34" t="s">
        <v>1</v>
      </c>
      <c r="E3" s="34" t="s">
        <v>862</v>
      </c>
      <c r="F3" s="34" t="s">
        <v>863</v>
      </c>
      <c r="G3" s="34" t="s">
        <v>864</v>
      </c>
      <c r="H3" s="35" t="s">
        <v>358</v>
      </c>
    </row>
    <row r="4" spans="2:9" s="25" customFormat="1" ht="9" customHeight="1" thickBot="1">
      <c r="B4" s="46"/>
      <c r="C4" s="37"/>
      <c r="D4" s="37"/>
      <c r="E4" s="37"/>
      <c r="F4" s="37"/>
      <c r="G4" s="38"/>
      <c r="H4" s="39"/>
    </row>
    <row r="5" spans="2:9" s="25" customFormat="1" ht="16.5" thickBot="1">
      <c r="B5" s="40">
        <v>1</v>
      </c>
      <c r="C5" s="27" t="s">
        <v>501</v>
      </c>
      <c r="D5" s="29" t="s">
        <v>195</v>
      </c>
      <c r="E5" s="27" t="s">
        <v>865</v>
      </c>
      <c r="F5" s="27" t="s">
        <v>866</v>
      </c>
      <c r="G5" s="26"/>
      <c r="H5" s="87" t="s">
        <v>867</v>
      </c>
    </row>
    <row r="6" spans="2:9" s="25" customFormat="1" ht="16.5" thickBot="1">
      <c r="B6" s="40">
        <f>B5+1</f>
        <v>2</v>
      </c>
      <c r="C6" s="27" t="s">
        <v>501</v>
      </c>
      <c r="D6" s="29" t="s">
        <v>195</v>
      </c>
      <c r="E6" s="27" t="s">
        <v>865</v>
      </c>
      <c r="F6" s="27" t="s">
        <v>1728</v>
      </c>
      <c r="G6" s="26"/>
      <c r="H6" s="88" t="s">
        <v>868</v>
      </c>
      <c r="I6" s="28" t="s">
        <v>869</v>
      </c>
    </row>
    <row r="7" spans="2:9" s="25" customFormat="1" ht="16.5" thickBot="1">
      <c r="B7" s="40">
        <f t="shared" ref="B7:B70" si="0">B6+1</f>
        <v>3</v>
      </c>
      <c r="C7" s="27" t="s">
        <v>501</v>
      </c>
      <c r="D7" s="29" t="s">
        <v>195</v>
      </c>
      <c r="E7" s="27" t="s">
        <v>865</v>
      </c>
      <c r="F7" s="27" t="s">
        <v>1333</v>
      </c>
      <c r="G7" s="27" t="s">
        <v>870</v>
      </c>
      <c r="H7" s="89" t="s">
        <v>871</v>
      </c>
    </row>
    <row r="8" spans="2:9" s="25" customFormat="1" ht="16.5" thickBot="1">
      <c r="B8" s="40">
        <f t="shared" si="0"/>
        <v>4</v>
      </c>
      <c r="C8" s="27" t="s">
        <v>501</v>
      </c>
      <c r="D8" s="29" t="s">
        <v>195</v>
      </c>
      <c r="E8" s="27" t="s">
        <v>865</v>
      </c>
      <c r="F8" s="27" t="s">
        <v>1333</v>
      </c>
      <c r="G8" s="27" t="s">
        <v>921</v>
      </c>
      <c r="H8" s="89" t="s">
        <v>873</v>
      </c>
    </row>
    <row r="9" spans="2:9" s="25" customFormat="1" ht="16.5" thickBot="1">
      <c r="B9" s="40">
        <f t="shared" si="0"/>
        <v>5</v>
      </c>
      <c r="C9" s="27" t="s">
        <v>501</v>
      </c>
      <c r="D9" s="29" t="s">
        <v>195</v>
      </c>
      <c r="E9" s="27" t="s">
        <v>865</v>
      </c>
      <c r="F9" s="27" t="s">
        <v>1333</v>
      </c>
      <c r="G9" s="27" t="s">
        <v>874</v>
      </c>
      <c r="H9" s="89" t="s">
        <v>875</v>
      </c>
    </row>
    <row r="10" spans="2:9" s="25" customFormat="1" ht="16.5" thickBot="1">
      <c r="B10" s="40">
        <f t="shared" si="0"/>
        <v>6</v>
      </c>
      <c r="C10" s="27" t="s">
        <v>501</v>
      </c>
      <c r="D10" s="29" t="s">
        <v>195</v>
      </c>
      <c r="E10" s="27" t="s">
        <v>865</v>
      </c>
      <c r="F10" s="27" t="s">
        <v>1333</v>
      </c>
      <c r="G10" s="27" t="s">
        <v>923</v>
      </c>
      <c r="H10" s="89" t="s">
        <v>877</v>
      </c>
    </row>
    <row r="11" spans="2:9" s="25" customFormat="1" ht="63.75" thickBot="1">
      <c r="B11" s="40">
        <f t="shared" si="0"/>
        <v>7</v>
      </c>
      <c r="C11" s="27" t="s">
        <v>501</v>
      </c>
      <c r="D11" s="29" t="s">
        <v>195</v>
      </c>
      <c r="E11" s="27" t="s">
        <v>865</v>
      </c>
      <c r="F11" s="27" t="s">
        <v>878</v>
      </c>
      <c r="G11" s="26"/>
      <c r="H11" s="89" t="s">
        <v>879</v>
      </c>
    </row>
    <row r="12" spans="2:9" s="25" customFormat="1" ht="63.75" thickBot="1">
      <c r="B12" s="40">
        <f t="shared" si="0"/>
        <v>8</v>
      </c>
      <c r="C12" s="27" t="s">
        <v>501</v>
      </c>
      <c r="D12" s="29" t="s">
        <v>195</v>
      </c>
      <c r="E12" s="27" t="s">
        <v>880</v>
      </c>
      <c r="F12" s="27" t="s">
        <v>1729</v>
      </c>
      <c r="G12" s="36" t="s">
        <v>882</v>
      </c>
      <c r="H12" s="89" t="s">
        <v>4013</v>
      </c>
    </row>
    <row r="13" spans="2:9" s="25" customFormat="1" ht="16.5" thickBot="1">
      <c r="B13" s="40">
        <f t="shared" si="0"/>
        <v>9</v>
      </c>
      <c r="C13" s="27" t="s">
        <v>501</v>
      </c>
      <c r="D13" s="29" t="s">
        <v>195</v>
      </c>
      <c r="E13" s="27" t="s">
        <v>880</v>
      </c>
      <c r="F13" s="29" t="s">
        <v>488</v>
      </c>
      <c r="G13" s="27" t="s">
        <v>883</v>
      </c>
      <c r="H13" s="89" t="s">
        <v>502</v>
      </c>
    </row>
    <row r="14" spans="2:9" s="25" customFormat="1" ht="32.25" thickBot="1">
      <c r="B14" s="40">
        <f t="shared" si="0"/>
        <v>10</v>
      </c>
      <c r="C14" s="27" t="s">
        <v>501</v>
      </c>
      <c r="D14" s="29" t="s">
        <v>195</v>
      </c>
      <c r="E14" s="27" t="s">
        <v>880</v>
      </c>
      <c r="F14" s="27" t="s">
        <v>1761</v>
      </c>
      <c r="G14" s="27" t="s">
        <v>884</v>
      </c>
      <c r="H14" s="89" t="s">
        <v>491</v>
      </c>
    </row>
    <row r="15" spans="2:9" s="25" customFormat="1" ht="16.5" thickBot="1">
      <c r="B15" s="40">
        <f t="shared" si="0"/>
        <v>11</v>
      </c>
      <c r="C15" s="27" t="s">
        <v>501</v>
      </c>
      <c r="D15" s="29" t="s">
        <v>195</v>
      </c>
      <c r="E15" s="27" t="s">
        <v>880</v>
      </c>
      <c r="F15" s="27" t="s">
        <v>738</v>
      </c>
      <c r="G15" s="27" t="s">
        <v>885</v>
      </c>
      <c r="H15" s="88" t="s">
        <v>494</v>
      </c>
    </row>
    <row r="16" spans="2:9" s="25" customFormat="1" ht="16.5" thickBot="1">
      <c r="B16" s="40">
        <f t="shared" si="0"/>
        <v>12</v>
      </c>
      <c r="C16" s="27" t="s">
        <v>501</v>
      </c>
      <c r="D16" s="71" t="s">
        <v>195</v>
      </c>
      <c r="E16" s="27" t="s">
        <v>880</v>
      </c>
      <c r="F16" s="27" t="s">
        <v>1762</v>
      </c>
      <c r="G16" s="27" t="s">
        <v>887</v>
      </c>
      <c r="H16" s="104" t="s">
        <v>886</v>
      </c>
    </row>
    <row r="17" spans="2:9" s="25" customFormat="1" ht="16.5" thickBot="1">
      <c r="B17" s="40">
        <f t="shared" si="0"/>
        <v>13</v>
      </c>
      <c r="C17" s="27" t="s">
        <v>501</v>
      </c>
      <c r="D17" s="71" t="s">
        <v>195</v>
      </c>
      <c r="E17" s="27" t="s">
        <v>880</v>
      </c>
      <c r="F17" s="27" t="s">
        <v>1763</v>
      </c>
      <c r="G17" s="27" t="s">
        <v>888</v>
      </c>
      <c r="H17" s="104" t="s">
        <v>889</v>
      </c>
    </row>
    <row r="18" spans="2:9" s="25" customFormat="1" ht="32.25" thickBot="1">
      <c r="B18" s="40">
        <f t="shared" si="0"/>
        <v>14</v>
      </c>
      <c r="C18" s="27" t="s">
        <v>501</v>
      </c>
      <c r="D18" s="71" t="s">
        <v>195</v>
      </c>
      <c r="E18" s="27" t="s">
        <v>880</v>
      </c>
      <c r="F18" s="27" t="s">
        <v>1764</v>
      </c>
      <c r="G18" s="27" t="s">
        <v>890</v>
      </c>
      <c r="H18" s="104" t="s">
        <v>891</v>
      </c>
    </row>
    <row r="19" spans="2:9" s="25" customFormat="1" ht="16.5" thickBot="1">
      <c r="B19" s="40">
        <f t="shared" si="0"/>
        <v>15</v>
      </c>
      <c r="C19" s="27" t="s">
        <v>501</v>
      </c>
      <c r="D19" s="71" t="s">
        <v>195</v>
      </c>
      <c r="E19" s="27" t="s">
        <v>880</v>
      </c>
      <c r="F19" s="27" t="s">
        <v>1765</v>
      </c>
      <c r="G19" s="27" t="s">
        <v>892</v>
      </c>
      <c r="H19" s="104" t="s">
        <v>893</v>
      </c>
    </row>
    <row r="20" spans="2:9" s="25" customFormat="1" ht="9" customHeight="1" thickBot="1">
      <c r="B20" s="23">
        <f t="shared" si="0"/>
        <v>16</v>
      </c>
      <c r="C20" s="24"/>
      <c r="D20" s="24"/>
      <c r="E20" s="24"/>
      <c r="F20" s="24"/>
      <c r="G20" s="24"/>
      <c r="H20" s="94"/>
    </row>
    <row r="21" spans="2:9" s="25" customFormat="1" ht="16.5" thickBot="1">
      <c r="B21" s="40">
        <f t="shared" si="0"/>
        <v>17</v>
      </c>
      <c r="C21" s="27" t="s">
        <v>501</v>
      </c>
      <c r="D21" s="29" t="s">
        <v>320</v>
      </c>
      <c r="E21" s="27" t="s">
        <v>865</v>
      </c>
      <c r="F21" s="27" t="s">
        <v>866</v>
      </c>
      <c r="G21" s="26"/>
      <c r="H21" s="88" t="s">
        <v>894</v>
      </c>
    </row>
    <row r="22" spans="2:9" s="25" customFormat="1" ht="16.5" thickBot="1">
      <c r="B22" s="40">
        <f t="shared" si="0"/>
        <v>18</v>
      </c>
      <c r="C22" s="27" t="s">
        <v>501</v>
      </c>
      <c r="D22" s="29" t="s">
        <v>320</v>
      </c>
      <c r="E22" s="27" t="s">
        <v>865</v>
      </c>
      <c r="F22" s="27" t="s">
        <v>1728</v>
      </c>
      <c r="G22" s="26"/>
      <c r="H22" s="88" t="s">
        <v>4014</v>
      </c>
      <c r="I22" s="28" t="s">
        <v>895</v>
      </c>
    </row>
    <row r="23" spans="2:9" s="25" customFormat="1" ht="16.5" thickBot="1">
      <c r="B23" s="40">
        <f t="shared" si="0"/>
        <v>19</v>
      </c>
      <c r="C23" s="27" t="s">
        <v>501</v>
      </c>
      <c r="D23" s="29" t="s">
        <v>320</v>
      </c>
      <c r="E23" s="27" t="s">
        <v>865</v>
      </c>
      <c r="F23" s="27" t="s">
        <v>1333</v>
      </c>
      <c r="G23" s="27" t="s">
        <v>870</v>
      </c>
      <c r="H23" s="89" t="s">
        <v>896</v>
      </c>
    </row>
    <row r="24" spans="2:9" s="25" customFormat="1" ht="16.5" thickBot="1">
      <c r="B24" s="40">
        <f t="shared" si="0"/>
        <v>20</v>
      </c>
      <c r="C24" s="27" t="s">
        <v>501</v>
      </c>
      <c r="D24" s="29" t="s">
        <v>320</v>
      </c>
      <c r="E24" s="27" t="s">
        <v>865</v>
      </c>
      <c r="F24" s="27" t="s">
        <v>1333</v>
      </c>
      <c r="G24" s="27" t="s">
        <v>874</v>
      </c>
      <c r="H24" s="89" t="s">
        <v>897</v>
      </c>
    </row>
    <row r="25" spans="2:9" ht="16.5" thickBot="1">
      <c r="B25" s="40">
        <f t="shared" si="0"/>
        <v>21</v>
      </c>
      <c r="C25" s="27" t="s">
        <v>501</v>
      </c>
      <c r="D25" s="71" t="s">
        <v>320</v>
      </c>
      <c r="E25" s="27" t="s">
        <v>880</v>
      </c>
      <c r="F25" s="27" t="s">
        <v>1762</v>
      </c>
      <c r="G25" s="27" t="s">
        <v>886</v>
      </c>
      <c r="H25" s="104" t="s">
        <v>886</v>
      </c>
    </row>
    <row r="26" spans="2:9" ht="16.5" thickBot="1">
      <c r="B26" s="40">
        <f t="shared" si="0"/>
        <v>22</v>
      </c>
      <c r="C26" s="27" t="s">
        <v>501</v>
      </c>
      <c r="D26" s="71" t="s">
        <v>320</v>
      </c>
      <c r="E26" s="27" t="s">
        <v>880</v>
      </c>
      <c r="F26" s="27" t="s">
        <v>1765</v>
      </c>
      <c r="G26" s="27" t="s">
        <v>892</v>
      </c>
      <c r="H26" s="104" t="s">
        <v>893</v>
      </c>
    </row>
    <row r="27" spans="2:9" ht="16.5" thickBot="1">
      <c r="B27" s="40">
        <f t="shared" si="0"/>
        <v>23</v>
      </c>
      <c r="C27" s="27" t="s">
        <v>501</v>
      </c>
      <c r="D27" s="71" t="s">
        <v>320</v>
      </c>
      <c r="E27" s="27" t="s">
        <v>880</v>
      </c>
      <c r="F27" s="27" t="s">
        <v>1729</v>
      </c>
      <c r="G27" s="27" t="s">
        <v>338</v>
      </c>
      <c r="H27" s="105" t="s">
        <v>898</v>
      </c>
    </row>
    <row r="28" spans="2:9" ht="16.5" thickBot="1">
      <c r="B28" s="40">
        <f t="shared" si="0"/>
        <v>24</v>
      </c>
      <c r="C28" s="27" t="s">
        <v>501</v>
      </c>
      <c r="D28" s="71" t="s">
        <v>320</v>
      </c>
      <c r="E28" s="27" t="s">
        <v>880</v>
      </c>
      <c r="F28" s="27" t="s">
        <v>1766</v>
      </c>
      <c r="G28" s="27" t="s">
        <v>899</v>
      </c>
      <c r="H28" s="105" t="s">
        <v>900</v>
      </c>
    </row>
    <row r="29" spans="2:9" ht="16.5" thickBot="1">
      <c r="B29" s="40">
        <f t="shared" si="0"/>
        <v>25</v>
      </c>
      <c r="C29" s="27" t="s">
        <v>501</v>
      </c>
      <c r="D29" s="71" t="s">
        <v>320</v>
      </c>
      <c r="E29" s="27" t="s">
        <v>880</v>
      </c>
      <c r="F29" s="27" t="s">
        <v>1763</v>
      </c>
      <c r="G29" s="27" t="s">
        <v>888</v>
      </c>
      <c r="H29" s="105" t="s">
        <v>889</v>
      </c>
    </row>
    <row r="30" spans="2:9" s="25" customFormat="1" ht="9" customHeight="1" thickBot="1">
      <c r="B30" s="23">
        <f t="shared" si="0"/>
        <v>26</v>
      </c>
      <c r="C30" s="24"/>
      <c r="D30" s="24"/>
      <c r="E30" s="24"/>
      <c r="F30" s="24"/>
      <c r="G30" s="24"/>
      <c r="H30" s="107"/>
    </row>
    <row r="31" spans="2:9" s="25" customFormat="1" ht="16.5" thickBot="1">
      <c r="B31" s="40">
        <f t="shared" si="0"/>
        <v>27</v>
      </c>
      <c r="C31" s="27" t="s">
        <v>501</v>
      </c>
      <c r="D31" s="71" t="s">
        <v>319</v>
      </c>
      <c r="E31" s="27" t="s">
        <v>865</v>
      </c>
      <c r="F31" s="27" t="s">
        <v>866</v>
      </c>
      <c r="G31" s="26"/>
      <c r="H31" s="105" t="s">
        <v>901</v>
      </c>
    </row>
    <row r="32" spans="2:9" s="25" customFormat="1" ht="16.5" thickBot="1">
      <c r="B32" s="40">
        <f t="shared" si="0"/>
        <v>28</v>
      </c>
      <c r="C32" s="27" t="s">
        <v>501</v>
      </c>
      <c r="D32" s="71" t="s">
        <v>319</v>
      </c>
      <c r="E32" s="27" t="s">
        <v>865</v>
      </c>
      <c r="F32" s="27" t="s">
        <v>1728</v>
      </c>
      <c r="G32" s="26"/>
      <c r="H32" s="105" t="s">
        <v>902</v>
      </c>
      <c r="I32" s="28" t="s">
        <v>903</v>
      </c>
    </row>
    <row r="33" spans="2:9" s="25" customFormat="1" ht="16.5" thickBot="1">
      <c r="B33" s="40">
        <f t="shared" si="0"/>
        <v>29</v>
      </c>
      <c r="C33" s="27" t="s">
        <v>501</v>
      </c>
      <c r="D33" s="71" t="s">
        <v>319</v>
      </c>
      <c r="E33" s="27" t="s">
        <v>865</v>
      </c>
      <c r="F33" s="27" t="s">
        <v>1333</v>
      </c>
      <c r="G33" s="27" t="s">
        <v>870</v>
      </c>
      <c r="H33" s="104" t="s">
        <v>904</v>
      </c>
    </row>
    <row r="34" spans="2:9" s="25" customFormat="1" ht="16.5" thickBot="1">
      <c r="B34" s="40">
        <f t="shared" si="0"/>
        <v>30</v>
      </c>
      <c r="C34" s="27" t="s">
        <v>501</v>
      </c>
      <c r="D34" s="71" t="s">
        <v>319</v>
      </c>
      <c r="E34" s="27" t="s">
        <v>865</v>
      </c>
      <c r="F34" s="27" t="s">
        <v>1333</v>
      </c>
      <c r="G34" s="27" t="s">
        <v>874</v>
      </c>
      <c r="H34" s="104" t="s">
        <v>4015</v>
      </c>
    </row>
    <row r="35" spans="2:9" ht="16.5" thickBot="1">
      <c r="B35" s="40">
        <f t="shared" si="0"/>
        <v>31</v>
      </c>
      <c r="C35" s="27" t="s">
        <v>501</v>
      </c>
      <c r="D35" s="71" t="s">
        <v>319</v>
      </c>
      <c r="E35" s="27" t="s">
        <v>880</v>
      </c>
      <c r="F35" s="27" t="s">
        <v>1762</v>
      </c>
      <c r="G35" s="27" t="s">
        <v>886</v>
      </c>
      <c r="H35" s="104" t="s">
        <v>886</v>
      </c>
    </row>
    <row r="36" spans="2:9" ht="16.5" thickBot="1">
      <c r="B36" s="40">
        <f t="shared" si="0"/>
        <v>32</v>
      </c>
      <c r="C36" s="27" t="s">
        <v>501</v>
      </c>
      <c r="D36" s="71" t="s">
        <v>319</v>
      </c>
      <c r="E36" s="27" t="s">
        <v>880</v>
      </c>
      <c r="F36" s="27" t="s">
        <v>1765</v>
      </c>
      <c r="G36" s="27" t="s">
        <v>892</v>
      </c>
      <c r="H36" s="104" t="s">
        <v>893</v>
      </c>
    </row>
    <row r="37" spans="2:9" ht="16.5" thickBot="1">
      <c r="B37" s="40">
        <f t="shared" si="0"/>
        <v>33</v>
      </c>
      <c r="C37" s="27" t="s">
        <v>501</v>
      </c>
      <c r="D37" s="29" t="s">
        <v>319</v>
      </c>
      <c r="E37" s="27" t="s">
        <v>880</v>
      </c>
      <c r="F37" s="27" t="s">
        <v>1729</v>
      </c>
      <c r="G37" s="27" t="s">
        <v>905</v>
      </c>
      <c r="H37" s="88" t="s">
        <v>906</v>
      </c>
    </row>
    <row r="38" spans="2:9" ht="16.5" thickBot="1">
      <c r="B38" s="40">
        <f t="shared" si="0"/>
        <v>34</v>
      </c>
      <c r="C38" s="27" t="s">
        <v>501</v>
      </c>
      <c r="D38" s="29" t="s">
        <v>319</v>
      </c>
      <c r="E38" s="27" t="s">
        <v>880</v>
      </c>
      <c r="F38" s="27" t="s">
        <v>1763</v>
      </c>
      <c r="G38" s="27" t="s">
        <v>888</v>
      </c>
      <c r="H38" s="88" t="s">
        <v>889</v>
      </c>
    </row>
    <row r="39" spans="2:9" s="25" customFormat="1" ht="9" customHeight="1" thickBot="1">
      <c r="B39" s="23">
        <f t="shared" si="0"/>
        <v>35</v>
      </c>
      <c r="C39" s="24"/>
      <c r="D39" s="24"/>
      <c r="E39" s="24"/>
      <c r="F39" s="24"/>
      <c r="G39" s="24"/>
      <c r="H39" s="94"/>
    </row>
    <row r="40" spans="2:9" s="25" customFormat="1" ht="48" thickBot="1">
      <c r="B40" s="40">
        <f t="shared" si="0"/>
        <v>36</v>
      </c>
      <c r="C40" s="27" t="s">
        <v>501</v>
      </c>
      <c r="D40" s="29" t="s">
        <v>318</v>
      </c>
      <c r="E40" s="27" t="s">
        <v>865</v>
      </c>
      <c r="F40" s="27" t="s">
        <v>866</v>
      </c>
      <c r="G40" s="26"/>
      <c r="H40" s="89" t="s">
        <v>4016</v>
      </c>
    </row>
    <row r="41" spans="2:9" s="25" customFormat="1" ht="32.25" thickBot="1">
      <c r="B41" s="40">
        <f t="shared" si="0"/>
        <v>37</v>
      </c>
      <c r="C41" s="27" t="s">
        <v>501</v>
      </c>
      <c r="D41" s="29" t="s">
        <v>318</v>
      </c>
      <c r="E41" s="27" t="s">
        <v>865</v>
      </c>
      <c r="F41" s="27" t="s">
        <v>1728</v>
      </c>
      <c r="G41" s="26"/>
      <c r="H41" s="89" t="s">
        <v>907</v>
      </c>
      <c r="I41" s="28" t="s">
        <v>908</v>
      </c>
    </row>
    <row r="42" spans="2:9" s="25" customFormat="1" ht="16.5" thickBot="1">
      <c r="B42" s="40">
        <f t="shared" si="0"/>
        <v>38</v>
      </c>
      <c r="C42" s="27" t="s">
        <v>501</v>
      </c>
      <c r="D42" s="29" t="s">
        <v>318</v>
      </c>
      <c r="E42" s="27" t="s">
        <v>865</v>
      </c>
      <c r="F42" s="27" t="s">
        <v>1333</v>
      </c>
      <c r="G42" s="27" t="s">
        <v>870</v>
      </c>
      <c r="H42" s="89" t="s">
        <v>909</v>
      </c>
    </row>
    <row r="43" spans="2:9" s="25" customFormat="1" ht="16.5" thickBot="1">
      <c r="B43" s="40">
        <f t="shared" si="0"/>
        <v>39</v>
      </c>
      <c r="C43" s="27" t="s">
        <v>501</v>
      </c>
      <c r="D43" s="29" t="s">
        <v>318</v>
      </c>
      <c r="E43" s="27" t="s">
        <v>865</v>
      </c>
      <c r="F43" s="27" t="s">
        <v>1333</v>
      </c>
      <c r="G43" s="27" t="s">
        <v>874</v>
      </c>
      <c r="H43" s="89" t="s">
        <v>910</v>
      </c>
    </row>
    <row r="44" spans="2:9" s="25" customFormat="1" ht="111" thickBot="1">
      <c r="B44" s="40">
        <f t="shared" si="0"/>
        <v>40</v>
      </c>
      <c r="C44" s="27" t="s">
        <v>501</v>
      </c>
      <c r="D44" s="29" t="s">
        <v>318</v>
      </c>
      <c r="E44" s="27" t="s">
        <v>865</v>
      </c>
      <c r="F44" s="27" t="s">
        <v>878</v>
      </c>
      <c r="G44" s="26"/>
      <c r="H44" s="89" t="s">
        <v>911</v>
      </c>
    </row>
    <row r="45" spans="2:9" ht="16.5" thickBot="1">
      <c r="B45" s="40">
        <f t="shared" si="0"/>
        <v>41</v>
      </c>
      <c r="C45" s="27" t="s">
        <v>501</v>
      </c>
      <c r="D45" s="71" t="s">
        <v>318</v>
      </c>
      <c r="E45" s="27" t="s">
        <v>880</v>
      </c>
      <c r="F45" s="27" t="s">
        <v>1762</v>
      </c>
      <c r="G45" s="71" t="s">
        <v>886</v>
      </c>
      <c r="H45" s="104" t="s">
        <v>886</v>
      </c>
    </row>
    <row r="46" spans="2:9" ht="16.5" thickBot="1">
      <c r="B46" s="40">
        <f t="shared" si="0"/>
        <v>42</v>
      </c>
      <c r="C46" s="27" t="s">
        <v>501</v>
      </c>
      <c r="D46" s="71" t="s">
        <v>318</v>
      </c>
      <c r="E46" s="27" t="s">
        <v>880</v>
      </c>
      <c r="F46" s="27" t="s">
        <v>1765</v>
      </c>
      <c r="G46" s="71" t="s">
        <v>892</v>
      </c>
      <c r="H46" s="104" t="s">
        <v>893</v>
      </c>
    </row>
    <row r="47" spans="2:9" ht="32.25" thickBot="1">
      <c r="B47" s="67">
        <f t="shared" si="0"/>
        <v>43</v>
      </c>
      <c r="C47" s="68" t="s">
        <v>501</v>
      </c>
      <c r="D47" s="69" t="s">
        <v>318</v>
      </c>
      <c r="E47" s="68" t="s">
        <v>865</v>
      </c>
      <c r="F47" s="68"/>
      <c r="G47" s="68" t="s">
        <v>905</v>
      </c>
      <c r="H47" s="99" t="s">
        <v>912</v>
      </c>
    </row>
    <row r="48" spans="2:9" ht="16.5" thickBot="1">
      <c r="B48" s="40">
        <f t="shared" si="0"/>
        <v>44</v>
      </c>
      <c r="C48" s="27" t="s">
        <v>501</v>
      </c>
      <c r="D48" s="71" t="s">
        <v>318</v>
      </c>
      <c r="E48" s="27" t="s">
        <v>865</v>
      </c>
      <c r="F48" s="27"/>
      <c r="G48" s="27" t="s">
        <v>913</v>
      </c>
      <c r="H48" s="89" t="s">
        <v>914</v>
      </c>
    </row>
    <row r="49" spans="2:9" ht="16.5" thickBot="1">
      <c r="B49" s="40">
        <f t="shared" si="0"/>
        <v>45</v>
      </c>
      <c r="C49" s="27" t="s">
        <v>501</v>
      </c>
      <c r="D49" s="71" t="s">
        <v>318</v>
      </c>
      <c r="E49" s="27" t="s">
        <v>865</v>
      </c>
      <c r="F49" s="27"/>
      <c r="G49" s="86" t="s">
        <v>915</v>
      </c>
      <c r="H49" s="89" t="s">
        <v>916</v>
      </c>
    </row>
    <row r="50" spans="2:9" ht="16.5" thickBot="1">
      <c r="B50" s="40">
        <f t="shared" si="0"/>
        <v>46</v>
      </c>
      <c r="C50" s="27" t="s">
        <v>501</v>
      </c>
      <c r="D50" s="29" t="s">
        <v>318</v>
      </c>
      <c r="E50" s="27" t="s">
        <v>880</v>
      </c>
      <c r="F50" s="27" t="s">
        <v>1763</v>
      </c>
      <c r="G50" s="30" t="s">
        <v>888</v>
      </c>
      <c r="H50" s="89" t="s">
        <v>889</v>
      </c>
    </row>
    <row r="51" spans="2:9" s="25" customFormat="1" ht="9" customHeight="1" thickBot="1">
      <c r="B51" s="23">
        <f t="shared" si="0"/>
        <v>47</v>
      </c>
      <c r="C51" s="24"/>
      <c r="D51" s="24"/>
      <c r="E51" s="24"/>
      <c r="F51" s="24"/>
      <c r="G51" s="24"/>
      <c r="H51" s="94"/>
    </row>
    <row r="52" spans="2:9" s="25" customFormat="1" ht="16.5" thickBot="1">
      <c r="B52" s="40">
        <f t="shared" si="0"/>
        <v>48</v>
      </c>
      <c r="C52" s="27" t="s">
        <v>501</v>
      </c>
      <c r="D52" s="29" t="s">
        <v>317</v>
      </c>
      <c r="E52" s="27" t="s">
        <v>865</v>
      </c>
      <c r="F52" s="27" t="s">
        <v>866</v>
      </c>
      <c r="G52" s="26"/>
      <c r="H52" s="88" t="s">
        <v>917</v>
      </c>
    </row>
    <row r="53" spans="2:9" s="25" customFormat="1" ht="32.25" thickBot="1">
      <c r="B53" s="40">
        <f t="shared" si="0"/>
        <v>49</v>
      </c>
      <c r="C53" s="27" t="s">
        <v>501</v>
      </c>
      <c r="D53" s="29" t="s">
        <v>317</v>
      </c>
      <c r="E53" s="27" t="s">
        <v>865</v>
      </c>
      <c r="F53" s="27" t="s">
        <v>1728</v>
      </c>
      <c r="G53" s="26"/>
      <c r="H53" s="89" t="s">
        <v>918</v>
      </c>
      <c r="I53" s="28" t="s">
        <v>919</v>
      </c>
    </row>
    <row r="54" spans="2:9" s="25" customFormat="1" ht="16.5" thickBot="1">
      <c r="B54" s="40">
        <f t="shared" si="0"/>
        <v>50</v>
      </c>
      <c r="C54" s="27" t="s">
        <v>501</v>
      </c>
      <c r="D54" s="29" t="s">
        <v>317</v>
      </c>
      <c r="E54" s="27" t="s">
        <v>865</v>
      </c>
      <c r="F54" s="27" t="s">
        <v>1333</v>
      </c>
      <c r="G54" s="27" t="s">
        <v>870</v>
      </c>
      <c r="H54" s="89" t="s">
        <v>920</v>
      </c>
    </row>
    <row r="55" spans="2:9" s="25" customFormat="1" ht="16.5" thickBot="1">
      <c r="B55" s="40">
        <f t="shared" si="0"/>
        <v>51</v>
      </c>
      <c r="C55" s="27" t="s">
        <v>501</v>
      </c>
      <c r="D55" s="29" t="s">
        <v>317</v>
      </c>
      <c r="E55" s="27" t="s">
        <v>865</v>
      </c>
      <c r="F55" s="27" t="s">
        <v>1333</v>
      </c>
      <c r="G55" s="27" t="s">
        <v>921</v>
      </c>
      <c r="H55" s="89" t="s">
        <v>922</v>
      </c>
    </row>
    <row r="56" spans="2:9" s="25" customFormat="1" ht="16.5" thickBot="1">
      <c r="B56" s="40">
        <f t="shared" si="0"/>
        <v>52</v>
      </c>
      <c r="C56" s="27" t="s">
        <v>501</v>
      </c>
      <c r="D56" s="29" t="s">
        <v>317</v>
      </c>
      <c r="E56" s="27" t="s">
        <v>865</v>
      </c>
      <c r="F56" s="27" t="s">
        <v>1333</v>
      </c>
      <c r="G56" s="27" t="s">
        <v>874</v>
      </c>
      <c r="H56" s="89" t="s">
        <v>920</v>
      </c>
    </row>
    <row r="57" spans="2:9" s="25" customFormat="1" ht="16.5" thickBot="1">
      <c r="B57" s="40">
        <f t="shared" si="0"/>
        <v>53</v>
      </c>
      <c r="C57" s="27" t="s">
        <v>501</v>
      </c>
      <c r="D57" s="29" t="s">
        <v>317</v>
      </c>
      <c r="E57" s="27" t="s">
        <v>865</v>
      </c>
      <c r="F57" s="27" t="s">
        <v>1333</v>
      </c>
      <c r="G57" s="27" t="s">
        <v>923</v>
      </c>
      <c r="H57" s="89" t="s">
        <v>920</v>
      </c>
    </row>
    <row r="58" spans="2:9" ht="16.5" thickBot="1">
      <c r="B58" s="40">
        <f t="shared" si="0"/>
        <v>54</v>
      </c>
      <c r="C58" s="27" t="s">
        <v>501</v>
      </c>
      <c r="D58" s="71" t="s">
        <v>317</v>
      </c>
      <c r="E58" s="27" t="s">
        <v>880</v>
      </c>
      <c r="F58" s="27" t="s">
        <v>1762</v>
      </c>
      <c r="G58" s="106" t="s">
        <v>886</v>
      </c>
      <c r="H58" s="105" t="s">
        <v>886</v>
      </c>
    </row>
    <row r="59" spans="2:9" ht="16.5" thickBot="1">
      <c r="B59" s="40">
        <f t="shared" si="0"/>
        <v>55</v>
      </c>
      <c r="C59" s="27" t="s">
        <v>501</v>
      </c>
      <c r="D59" s="71" t="s">
        <v>317</v>
      </c>
      <c r="E59" s="27" t="s">
        <v>880</v>
      </c>
      <c r="F59" s="27" t="s">
        <v>1765</v>
      </c>
      <c r="G59" s="106" t="s">
        <v>892</v>
      </c>
      <c r="H59" s="105" t="s">
        <v>893</v>
      </c>
    </row>
    <row r="60" spans="2:9" ht="16.5" thickBot="1">
      <c r="B60" s="40">
        <f t="shared" si="0"/>
        <v>56</v>
      </c>
      <c r="C60" s="27" t="s">
        <v>501</v>
      </c>
      <c r="D60" s="29" t="s">
        <v>317</v>
      </c>
      <c r="E60" s="27" t="s">
        <v>880</v>
      </c>
      <c r="F60" s="27" t="s">
        <v>1763</v>
      </c>
      <c r="G60" s="30" t="s">
        <v>888</v>
      </c>
      <c r="H60" s="88" t="s">
        <v>889</v>
      </c>
    </row>
    <row r="61" spans="2:9" s="25" customFormat="1" ht="9" customHeight="1" thickBot="1">
      <c r="B61" s="23">
        <f t="shared" si="0"/>
        <v>57</v>
      </c>
      <c r="C61" s="24"/>
      <c r="D61" s="24"/>
      <c r="E61" s="24"/>
      <c r="F61" s="24"/>
      <c r="G61" s="24"/>
      <c r="H61" s="94"/>
    </row>
    <row r="62" spans="2:9" s="25" customFormat="1" ht="16.5" thickBot="1">
      <c r="B62" s="40">
        <f t="shared" si="0"/>
        <v>58</v>
      </c>
      <c r="C62" s="27" t="s">
        <v>501</v>
      </c>
      <c r="D62" s="29" t="s">
        <v>316</v>
      </c>
      <c r="E62" s="27" t="s">
        <v>865</v>
      </c>
      <c r="F62" s="27" t="s">
        <v>866</v>
      </c>
      <c r="G62" s="26"/>
      <c r="H62" s="88" t="s">
        <v>924</v>
      </c>
    </row>
    <row r="63" spans="2:9" s="25" customFormat="1" ht="16.5" thickBot="1">
      <c r="B63" s="40">
        <f t="shared" si="0"/>
        <v>59</v>
      </c>
      <c r="C63" s="27" t="s">
        <v>501</v>
      </c>
      <c r="D63" s="29" t="s">
        <v>316</v>
      </c>
      <c r="E63" s="27" t="s">
        <v>865</v>
      </c>
      <c r="F63" s="27" t="s">
        <v>1728</v>
      </c>
      <c r="G63" s="26"/>
      <c r="H63" s="88" t="s">
        <v>925</v>
      </c>
      <c r="I63" s="28" t="s">
        <v>926</v>
      </c>
    </row>
    <row r="64" spans="2:9" s="25" customFormat="1" ht="16.5" thickBot="1">
      <c r="B64" s="40">
        <f t="shared" si="0"/>
        <v>60</v>
      </c>
      <c r="C64" s="27" t="s">
        <v>501</v>
      </c>
      <c r="D64" s="29" t="s">
        <v>316</v>
      </c>
      <c r="E64" s="27" t="s">
        <v>865</v>
      </c>
      <c r="F64" s="27" t="s">
        <v>1333</v>
      </c>
      <c r="G64" s="27" t="s">
        <v>870</v>
      </c>
      <c r="H64" s="89" t="s">
        <v>927</v>
      </c>
    </row>
    <row r="65" spans="1:9" s="25" customFormat="1" ht="16.5" thickBot="1">
      <c r="B65" s="40">
        <f t="shared" si="0"/>
        <v>61</v>
      </c>
      <c r="C65" s="27" t="s">
        <v>501</v>
      </c>
      <c r="D65" s="29" t="s">
        <v>316</v>
      </c>
      <c r="E65" s="27" t="s">
        <v>865</v>
      </c>
      <c r="F65" s="27" t="s">
        <v>1333</v>
      </c>
      <c r="G65" s="27" t="s">
        <v>874</v>
      </c>
      <c r="H65" s="89" t="s">
        <v>928</v>
      </c>
    </row>
    <row r="66" spans="1:9" s="25" customFormat="1" ht="32.25" thickBot="1">
      <c r="B66" s="40">
        <f t="shared" si="0"/>
        <v>62</v>
      </c>
      <c r="C66" s="27" t="s">
        <v>501</v>
      </c>
      <c r="D66" s="29" t="s">
        <v>316</v>
      </c>
      <c r="E66" s="27" t="s">
        <v>865</v>
      </c>
      <c r="F66" s="27" t="s">
        <v>878</v>
      </c>
      <c r="G66" s="26"/>
      <c r="H66" s="89" t="s">
        <v>929</v>
      </c>
    </row>
    <row r="67" spans="1:9" ht="16.5" thickBot="1">
      <c r="A67" s="80"/>
      <c r="B67" s="40">
        <f t="shared" si="0"/>
        <v>63</v>
      </c>
      <c r="C67" s="27" t="s">
        <v>501</v>
      </c>
      <c r="D67" s="71" t="s">
        <v>316</v>
      </c>
      <c r="E67" s="27" t="s">
        <v>880</v>
      </c>
      <c r="F67" s="27" t="s">
        <v>1765</v>
      </c>
      <c r="G67" s="27" t="s">
        <v>892</v>
      </c>
      <c r="H67" s="104" t="s">
        <v>893</v>
      </c>
    </row>
    <row r="68" spans="1:9" ht="16.5" thickBot="1">
      <c r="B68" s="40">
        <f t="shared" si="0"/>
        <v>64</v>
      </c>
      <c r="C68" s="27" t="s">
        <v>501</v>
      </c>
      <c r="D68" s="29" t="s">
        <v>316</v>
      </c>
      <c r="E68" s="27" t="s">
        <v>880</v>
      </c>
      <c r="F68" s="27" t="s">
        <v>1763</v>
      </c>
      <c r="G68" s="27" t="s">
        <v>888</v>
      </c>
      <c r="H68" s="88" t="s">
        <v>889</v>
      </c>
    </row>
    <row r="69" spans="1:9" s="25" customFormat="1" ht="9" customHeight="1" thickBot="1">
      <c r="B69" s="23">
        <f t="shared" ref="B69:B134" si="1">B68+1</f>
        <v>65</v>
      </c>
      <c r="C69" s="24"/>
      <c r="D69" s="24"/>
      <c r="E69" s="24"/>
      <c r="F69" s="24"/>
      <c r="G69" s="24"/>
      <c r="H69" s="94"/>
    </row>
    <row r="70" spans="1:9" s="25" customFormat="1" ht="16.5" thickBot="1">
      <c r="B70" s="40">
        <f t="shared" si="0"/>
        <v>66</v>
      </c>
      <c r="C70" s="27" t="s">
        <v>501</v>
      </c>
      <c r="D70" s="29" t="s">
        <v>315</v>
      </c>
      <c r="E70" s="27" t="s">
        <v>865</v>
      </c>
      <c r="F70" s="27" t="s">
        <v>866</v>
      </c>
      <c r="G70" s="26"/>
      <c r="H70" s="88" t="s">
        <v>930</v>
      </c>
    </row>
    <row r="71" spans="1:9" s="25" customFormat="1" ht="16.5" thickBot="1">
      <c r="B71" s="40">
        <f t="shared" si="1"/>
        <v>67</v>
      </c>
      <c r="C71" s="27" t="s">
        <v>501</v>
      </c>
      <c r="D71" s="29" t="s">
        <v>315</v>
      </c>
      <c r="E71" s="27" t="s">
        <v>865</v>
      </c>
      <c r="F71" s="27" t="s">
        <v>1728</v>
      </c>
      <c r="G71" s="26"/>
      <c r="H71" s="88" t="s">
        <v>931</v>
      </c>
      <c r="I71" s="28" t="s">
        <v>932</v>
      </c>
    </row>
    <row r="72" spans="1:9" s="25" customFormat="1" ht="16.5" thickBot="1">
      <c r="B72" s="40">
        <f t="shared" si="1"/>
        <v>68</v>
      </c>
      <c r="C72" s="27" t="s">
        <v>501</v>
      </c>
      <c r="D72" s="29" t="s">
        <v>315</v>
      </c>
      <c r="E72" s="27" t="s">
        <v>865</v>
      </c>
      <c r="F72" s="27" t="s">
        <v>1333</v>
      </c>
      <c r="G72" s="27" t="s">
        <v>870</v>
      </c>
      <c r="H72" s="89" t="s">
        <v>933</v>
      </c>
    </row>
    <row r="73" spans="1:9" s="25" customFormat="1" ht="16.5" thickBot="1">
      <c r="B73" s="40">
        <f t="shared" si="1"/>
        <v>69</v>
      </c>
      <c r="C73" s="27" t="s">
        <v>501</v>
      </c>
      <c r="D73" s="29" t="s">
        <v>315</v>
      </c>
      <c r="E73" s="27" t="s">
        <v>865</v>
      </c>
      <c r="F73" s="27" t="s">
        <v>1333</v>
      </c>
      <c r="G73" s="27" t="s">
        <v>921</v>
      </c>
      <c r="H73" s="89" t="s">
        <v>934</v>
      </c>
    </row>
    <row r="74" spans="1:9" s="25" customFormat="1" ht="16.5" thickBot="1">
      <c r="B74" s="40">
        <f t="shared" si="1"/>
        <v>70</v>
      </c>
      <c r="C74" s="27" t="s">
        <v>501</v>
      </c>
      <c r="D74" s="29" t="s">
        <v>315</v>
      </c>
      <c r="E74" s="27" t="s">
        <v>865</v>
      </c>
      <c r="F74" s="27" t="s">
        <v>1333</v>
      </c>
      <c r="G74" s="27" t="s">
        <v>874</v>
      </c>
      <c r="H74" s="89" t="s">
        <v>935</v>
      </c>
    </row>
    <row r="75" spans="1:9" s="25" customFormat="1" ht="16.5" thickBot="1">
      <c r="B75" s="40">
        <f t="shared" si="1"/>
        <v>71</v>
      </c>
      <c r="C75" s="27" t="s">
        <v>501</v>
      </c>
      <c r="D75" s="29" t="s">
        <v>315</v>
      </c>
      <c r="E75" s="27" t="s">
        <v>865</v>
      </c>
      <c r="F75" s="27" t="s">
        <v>1333</v>
      </c>
      <c r="G75" s="27" t="s">
        <v>923</v>
      </c>
      <c r="H75" s="89" t="s">
        <v>936</v>
      </c>
    </row>
    <row r="76" spans="1:9" ht="16.5" thickBot="1">
      <c r="B76" s="40">
        <f t="shared" si="1"/>
        <v>72</v>
      </c>
      <c r="C76" s="27" t="s">
        <v>501</v>
      </c>
      <c r="D76" s="71" t="s">
        <v>315</v>
      </c>
      <c r="E76" s="27" t="s">
        <v>880</v>
      </c>
      <c r="F76" s="27" t="s">
        <v>1762</v>
      </c>
      <c r="G76" s="27" t="s">
        <v>886</v>
      </c>
      <c r="H76" s="105" t="s">
        <v>886</v>
      </c>
    </row>
    <row r="77" spans="1:9" ht="16.5" thickBot="1">
      <c r="B77" s="40">
        <f t="shared" si="1"/>
        <v>73</v>
      </c>
      <c r="C77" s="27" t="s">
        <v>501</v>
      </c>
      <c r="D77" s="71" t="s">
        <v>315</v>
      </c>
      <c r="E77" s="27" t="s">
        <v>865</v>
      </c>
      <c r="F77" s="27"/>
      <c r="G77" s="27" t="s">
        <v>937</v>
      </c>
      <c r="H77" s="88" t="s">
        <v>938</v>
      </c>
    </row>
    <row r="78" spans="1:9" ht="16.5" thickBot="1">
      <c r="B78" s="40">
        <f t="shared" si="1"/>
        <v>74</v>
      </c>
      <c r="C78" s="27" t="s">
        <v>501</v>
      </c>
      <c r="D78" s="29" t="s">
        <v>315</v>
      </c>
      <c r="E78" s="27" t="s">
        <v>880</v>
      </c>
      <c r="F78" s="27" t="s">
        <v>1763</v>
      </c>
      <c r="G78" s="27" t="s">
        <v>888</v>
      </c>
      <c r="H78" s="89" t="s">
        <v>889</v>
      </c>
    </row>
    <row r="79" spans="1:9" s="25" customFormat="1" ht="9" customHeight="1" thickBot="1">
      <c r="B79" s="23">
        <f t="shared" si="1"/>
        <v>75</v>
      </c>
      <c r="C79" s="24"/>
      <c r="D79" s="24"/>
      <c r="E79" s="24"/>
      <c r="F79" s="24"/>
      <c r="G79" s="24"/>
      <c r="H79" s="94"/>
    </row>
    <row r="80" spans="1:9" s="25" customFormat="1" ht="16.5" thickBot="1">
      <c r="B80" s="40">
        <f t="shared" si="1"/>
        <v>76</v>
      </c>
      <c r="C80" s="27" t="s">
        <v>501</v>
      </c>
      <c r="D80" s="29" t="s">
        <v>314</v>
      </c>
      <c r="E80" s="27" t="s">
        <v>865</v>
      </c>
      <c r="F80" s="27" t="s">
        <v>866</v>
      </c>
      <c r="G80" s="26"/>
      <c r="H80" s="89" t="s">
        <v>939</v>
      </c>
    </row>
    <row r="81" spans="2:9" s="25" customFormat="1" ht="32.25" thickBot="1">
      <c r="B81" s="40">
        <f t="shared" si="1"/>
        <v>77</v>
      </c>
      <c r="C81" s="27" t="s">
        <v>501</v>
      </c>
      <c r="D81" s="29" t="s">
        <v>314</v>
      </c>
      <c r="E81" s="27" t="s">
        <v>865</v>
      </c>
      <c r="F81" s="27" t="s">
        <v>1728</v>
      </c>
      <c r="G81" s="26"/>
      <c r="H81" s="89" t="s">
        <v>940</v>
      </c>
      <c r="I81" s="28" t="s">
        <v>941</v>
      </c>
    </row>
    <row r="82" spans="2:9" s="25" customFormat="1" ht="16.5" thickBot="1">
      <c r="B82" s="40">
        <f t="shared" si="1"/>
        <v>78</v>
      </c>
      <c r="C82" s="27" t="s">
        <v>501</v>
      </c>
      <c r="D82" s="29" t="s">
        <v>314</v>
      </c>
      <c r="E82" s="27" t="s">
        <v>865</v>
      </c>
      <c r="F82" s="27" t="s">
        <v>1333</v>
      </c>
      <c r="G82" s="27" t="s">
        <v>870</v>
      </c>
      <c r="H82" s="89" t="s">
        <v>942</v>
      </c>
    </row>
    <row r="83" spans="2:9" s="25" customFormat="1" ht="16.5" thickBot="1">
      <c r="B83" s="40">
        <f t="shared" si="1"/>
        <v>79</v>
      </c>
      <c r="C83" s="27" t="s">
        <v>501</v>
      </c>
      <c r="D83" s="29" t="s">
        <v>314</v>
      </c>
      <c r="E83" s="27" t="s">
        <v>865</v>
      </c>
      <c r="F83" s="27" t="s">
        <v>1333</v>
      </c>
      <c r="G83" s="27" t="s">
        <v>943</v>
      </c>
      <c r="H83" s="89" t="s">
        <v>942</v>
      </c>
    </row>
    <row r="84" spans="2:9" s="25" customFormat="1" ht="16.5" thickBot="1">
      <c r="B84" s="40">
        <f t="shared" si="1"/>
        <v>80</v>
      </c>
      <c r="C84" s="27" t="s">
        <v>501</v>
      </c>
      <c r="D84" s="29" t="s">
        <v>314</v>
      </c>
      <c r="E84" s="27" t="s">
        <v>865</v>
      </c>
      <c r="F84" s="27" t="s">
        <v>1333</v>
      </c>
      <c r="G84" s="27" t="s">
        <v>874</v>
      </c>
      <c r="H84" s="89" t="s">
        <v>944</v>
      </c>
    </row>
    <row r="85" spans="2:9" s="25" customFormat="1" ht="16.5" thickBot="1">
      <c r="B85" s="40">
        <f t="shared" si="1"/>
        <v>81</v>
      </c>
      <c r="C85" s="27" t="s">
        <v>501</v>
      </c>
      <c r="D85" s="29" t="s">
        <v>314</v>
      </c>
      <c r="E85" s="27" t="s">
        <v>865</v>
      </c>
      <c r="F85" s="27" t="s">
        <v>1333</v>
      </c>
      <c r="G85" s="27" t="s">
        <v>923</v>
      </c>
      <c r="H85" s="89" t="s">
        <v>944</v>
      </c>
    </row>
    <row r="86" spans="2:9" s="25" customFormat="1" ht="32.25" thickBot="1">
      <c r="B86" s="40">
        <f t="shared" si="1"/>
        <v>82</v>
      </c>
      <c r="C86" s="27" t="s">
        <v>501</v>
      </c>
      <c r="D86" s="29" t="s">
        <v>314</v>
      </c>
      <c r="E86" s="27" t="s">
        <v>865</v>
      </c>
      <c r="F86" s="27" t="s">
        <v>878</v>
      </c>
      <c r="G86" s="26"/>
      <c r="H86" s="89" t="s">
        <v>945</v>
      </c>
    </row>
    <row r="87" spans="2:9" ht="16.5" thickBot="1">
      <c r="B87" s="40">
        <f t="shared" si="1"/>
        <v>83</v>
      </c>
      <c r="C87" s="27" t="s">
        <v>501</v>
      </c>
      <c r="D87" s="71" t="s">
        <v>314</v>
      </c>
      <c r="E87" s="27" t="s">
        <v>880</v>
      </c>
      <c r="F87" s="27" t="s">
        <v>1762</v>
      </c>
      <c r="G87" s="27" t="s">
        <v>886</v>
      </c>
      <c r="H87" s="104" t="s">
        <v>886</v>
      </c>
    </row>
    <row r="88" spans="2:9" ht="16.5" thickBot="1">
      <c r="B88" s="40">
        <f t="shared" si="1"/>
        <v>84</v>
      </c>
      <c r="C88" s="27" t="s">
        <v>501</v>
      </c>
      <c r="D88" s="71" t="s">
        <v>314</v>
      </c>
      <c r="E88" s="27" t="s">
        <v>880</v>
      </c>
      <c r="F88" s="27" t="s">
        <v>1765</v>
      </c>
      <c r="G88" s="27" t="s">
        <v>892</v>
      </c>
      <c r="H88" s="104" t="s">
        <v>893</v>
      </c>
    </row>
    <row r="89" spans="2:9" ht="16.5" thickBot="1">
      <c r="B89" s="67">
        <f t="shared" si="1"/>
        <v>85</v>
      </c>
      <c r="C89" s="68" t="s">
        <v>501</v>
      </c>
      <c r="D89" s="69" t="s">
        <v>314</v>
      </c>
      <c r="E89" s="68" t="s">
        <v>865</v>
      </c>
      <c r="F89" s="68"/>
      <c r="G89" s="68" t="s">
        <v>946</v>
      </c>
      <c r="H89" s="99" t="s">
        <v>898</v>
      </c>
    </row>
    <row r="90" spans="2:9" ht="16.5" thickBot="1">
      <c r="B90" s="40">
        <f t="shared" si="1"/>
        <v>86</v>
      </c>
      <c r="C90" s="27" t="s">
        <v>501</v>
      </c>
      <c r="D90" s="29" t="s">
        <v>314</v>
      </c>
      <c r="E90" s="27" t="s">
        <v>880</v>
      </c>
      <c r="F90" s="27" t="s">
        <v>1763</v>
      </c>
      <c r="G90" s="27" t="s">
        <v>888</v>
      </c>
      <c r="H90" s="89" t="s">
        <v>889</v>
      </c>
    </row>
    <row r="91" spans="2:9" s="25" customFormat="1" ht="9" customHeight="1" thickBot="1">
      <c r="B91" s="23">
        <f t="shared" si="1"/>
        <v>87</v>
      </c>
      <c r="C91" s="24"/>
      <c r="D91" s="24"/>
      <c r="E91" s="24"/>
      <c r="F91" s="24"/>
      <c r="G91" s="24"/>
      <c r="H91" s="94"/>
    </row>
    <row r="92" spans="2:9" s="25" customFormat="1" ht="16.5" thickBot="1">
      <c r="B92" s="40">
        <f t="shared" si="1"/>
        <v>88</v>
      </c>
      <c r="C92" s="27" t="s">
        <v>501</v>
      </c>
      <c r="D92" s="29" t="s">
        <v>313</v>
      </c>
      <c r="E92" s="27" t="s">
        <v>865</v>
      </c>
      <c r="F92" s="27" t="s">
        <v>866</v>
      </c>
      <c r="G92" s="26"/>
      <c r="H92" s="88" t="s">
        <v>947</v>
      </c>
    </row>
    <row r="93" spans="2:9" s="25" customFormat="1" ht="16.5" thickBot="1">
      <c r="B93" s="40">
        <f t="shared" si="1"/>
        <v>89</v>
      </c>
      <c r="C93" s="27" t="s">
        <v>501</v>
      </c>
      <c r="D93" s="29" t="s">
        <v>313</v>
      </c>
      <c r="E93" s="27" t="s">
        <v>865</v>
      </c>
      <c r="F93" s="27" t="s">
        <v>1728</v>
      </c>
      <c r="G93" s="26"/>
      <c r="H93" s="88" t="s">
        <v>4017</v>
      </c>
      <c r="I93" s="28" t="s">
        <v>948</v>
      </c>
    </row>
    <row r="94" spans="2:9" s="25" customFormat="1" ht="16.5" thickBot="1">
      <c r="B94" s="40">
        <f t="shared" si="1"/>
        <v>90</v>
      </c>
      <c r="C94" s="27" t="s">
        <v>501</v>
      </c>
      <c r="D94" s="29" t="s">
        <v>313</v>
      </c>
      <c r="E94" s="27" t="s">
        <v>865</v>
      </c>
      <c r="F94" s="27" t="s">
        <v>1333</v>
      </c>
      <c r="G94" s="27" t="s">
        <v>949</v>
      </c>
      <c r="H94" s="89" t="s">
        <v>950</v>
      </c>
    </row>
    <row r="95" spans="2:9" s="25" customFormat="1" ht="16.5" thickBot="1">
      <c r="B95" s="40">
        <f t="shared" si="1"/>
        <v>91</v>
      </c>
      <c r="C95" s="27" t="s">
        <v>501</v>
      </c>
      <c r="D95" s="29" t="s">
        <v>313</v>
      </c>
      <c r="E95" s="27" t="s">
        <v>865</v>
      </c>
      <c r="F95" s="27" t="s">
        <v>1333</v>
      </c>
      <c r="G95" s="27" t="s">
        <v>951</v>
      </c>
      <c r="H95" s="89" t="s">
        <v>952</v>
      </c>
    </row>
    <row r="96" spans="2:9" ht="16.5" thickBot="1">
      <c r="B96" s="40">
        <f t="shared" si="1"/>
        <v>92</v>
      </c>
      <c r="C96" s="27" t="s">
        <v>501</v>
      </c>
      <c r="D96" s="71" t="s">
        <v>313</v>
      </c>
      <c r="E96" s="27" t="s">
        <v>880</v>
      </c>
      <c r="F96" s="27" t="s">
        <v>1762</v>
      </c>
      <c r="G96" s="27" t="s">
        <v>886</v>
      </c>
      <c r="H96" s="104" t="s">
        <v>886</v>
      </c>
    </row>
    <row r="97" spans="2:9" ht="16.5" thickBot="1">
      <c r="B97" s="40">
        <f t="shared" si="1"/>
        <v>93</v>
      </c>
      <c r="C97" s="27" t="s">
        <v>501</v>
      </c>
      <c r="D97" s="71" t="s">
        <v>313</v>
      </c>
      <c r="E97" s="27" t="s">
        <v>865</v>
      </c>
      <c r="F97" s="27"/>
      <c r="G97" s="27" t="s">
        <v>953</v>
      </c>
      <c r="H97" s="89" t="s">
        <v>954</v>
      </c>
    </row>
    <row r="98" spans="2:9" ht="16.5" thickBot="1">
      <c r="B98" s="40">
        <f t="shared" si="1"/>
        <v>94</v>
      </c>
      <c r="C98" s="27" t="s">
        <v>501</v>
      </c>
      <c r="D98" s="71" t="s">
        <v>313</v>
      </c>
      <c r="E98" s="27" t="s">
        <v>865</v>
      </c>
      <c r="F98" s="27"/>
      <c r="G98" s="27" t="s">
        <v>955</v>
      </c>
      <c r="H98" s="88" t="s">
        <v>916</v>
      </c>
    </row>
    <row r="99" spans="2:9" ht="16.5" thickBot="1">
      <c r="B99" s="40">
        <f t="shared" si="1"/>
        <v>95</v>
      </c>
      <c r="C99" s="27" t="s">
        <v>501</v>
      </c>
      <c r="D99" s="29" t="s">
        <v>313</v>
      </c>
      <c r="E99" s="27" t="s">
        <v>880</v>
      </c>
      <c r="F99" s="27" t="s">
        <v>1763</v>
      </c>
      <c r="G99" s="27" t="s">
        <v>888</v>
      </c>
      <c r="H99" s="88" t="s">
        <v>889</v>
      </c>
    </row>
    <row r="100" spans="2:9" s="25" customFormat="1" ht="9" customHeight="1" thickBot="1">
      <c r="B100" s="23">
        <f t="shared" si="1"/>
        <v>96</v>
      </c>
      <c r="C100" s="24"/>
      <c r="D100" s="24"/>
      <c r="E100" s="24"/>
      <c r="F100" s="24"/>
      <c r="G100" s="24"/>
      <c r="H100" s="94"/>
    </row>
    <row r="101" spans="2:9" s="25" customFormat="1" ht="32.25" thickBot="1">
      <c r="B101" s="40">
        <f t="shared" si="1"/>
        <v>97</v>
      </c>
      <c r="C101" s="27" t="s">
        <v>501</v>
      </c>
      <c r="D101" s="29" t="s">
        <v>312</v>
      </c>
      <c r="E101" s="27" t="s">
        <v>865</v>
      </c>
      <c r="F101" s="27" t="s">
        <v>866</v>
      </c>
      <c r="G101" s="26"/>
      <c r="H101" s="89" t="s">
        <v>4018</v>
      </c>
    </row>
    <row r="102" spans="2:9" s="25" customFormat="1" ht="32.25" thickBot="1">
      <c r="B102" s="40">
        <f t="shared" si="1"/>
        <v>98</v>
      </c>
      <c r="C102" s="27" t="s">
        <v>501</v>
      </c>
      <c r="D102" s="29" t="s">
        <v>312</v>
      </c>
      <c r="E102" s="27" t="s">
        <v>865</v>
      </c>
      <c r="F102" s="27" t="s">
        <v>1728</v>
      </c>
      <c r="G102" s="26"/>
      <c r="H102" s="89" t="s">
        <v>4019</v>
      </c>
      <c r="I102" s="28" t="s">
        <v>956</v>
      </c>
    </row>
    <row r="103" spans="2:9" s="25" customFormat="1" ht="16.5" thickBot="1">
      <c r="B103" s="40">
        <f t="shared" si="1"/>
        <v>99</v>
      </c>
      <c r="C103" s="27" t="s">
        <v>501</v>
      </c>
      <c r="D103" s="29" t="s">
        <v>312</v>
      </c>
      <c r="E103" s="27" t="s">
        <v>865</v>
      </c>
      <c r="F103" s="27" t="s">
        <v>1333</v>
      </c>
      <c r="G103" s="27" t="s">
        <v>949</v>
      </c>
      <c r="H103" s="89" t="s">
        <v>957</v>
      </c>
    </row>
    <row r="104" spans="2:9" s="25" customFormat="1" ht="16.5" thickBot="1">
      <c r="B104" s="40">
        <f t="shared" si="1"/>
        <v>100</v>
      </c>
      <c r="C104" s="27" t="s">
        <v>501</v>
      </c>
      <c r="D104" s="29" t="s">
        <v>312</v>
      </c>
      <c r="E104" s="27" t="s">
        <v>865</v>
      </c>
      <c r="F104" s="27" t="s">
        <v>1333</v>
      </c>
      <c r="G104" s="27" t="s">
        <v>951</v>
      </c>
      <c r="H104" s="89" t="s">
        <v>958</v>
      </c>
    </row>
    <row r="105" spans="2:9" ht="16.5" thickBot="1">
      <c r="B105" s="40">
        <f t="shared" si="1"/>
        <v>101</v>
      </c>
      <c r="C105" s="27" t="s">
        <v>501</v>
      </c>
      <c r="D105" s="29" t="s">
        <v>312</v>
      </c>
      <c r="E105" s="27" t="s">
        <v>865</v>
      </c>
      <c r="F105" s="26"/>
      <c r="G105" s="47" t="s">
        <v>335</v>
      </c>
      <c r="H105" s="89" t="s">
        <v>959</v>
      </c>
    </row>
    <row r="106" spans="2:9" ht="16.5" thickBot="1">
      <c r="B106" s="40">
        <f t="shared" si="1"/>
        <v>102</v>
      </c>
      <c r="C106" s="27" t="s">
        <v>501</v>
      </c>
      <c r="D106" s="29" t="s">
        <v>312</v>
      </c>
      <c r="E106" s="27" t="s">
        <v>880</v>
      </c>
      <c r="F106" s="27" t="s">
        <v>1763</v>
      </c>
      <c r="G106" s="27" t="s">
        <v>888</v>
      </c>
      <c r="H106" s="89" t="s">
        <v>889</v>
      </c>
    </row>
    <row r="107" spans="2:9" s="25" customFormat="1" ht="9" customHeight="1" thickBot="1">
      <c r="B107" s="23">
        <f t="shared" si="1"/>
        <v>103</v>
      </c>
      <c r="C107" s="24"/>
      <c r="D107" s="24"/>
      <c r="E107" s="24"/>
      <c r="F107" s="24"/>
      <c r="G107" s="24"/>
      <c r="H107" s="94"/>
    </row>
    <row r="108" spans="2:9" s="25" customFormat="1" ht="32.25" thickBot="1">
      <c r="B108" s="40">
        <f t="shared" si="1"/>
        <v>104</v>
      </c>
      <c r="C108" s="27" t="s">
        <v>501</v>
      </c>
      <c r="D108" s="29" t="s">
        <v>311</v>
      </c>
      <c r="E108" s="27" t="s">
        <v>865</v>
      </c>
      <c r="F108" s="27" t="s">
        <v>866</v>
      </c>
      <c r="G108" s="26"/>
      <c r="H108" s="89" t="s">
        <v>960</v>
      </c>
    </row>
    <row r="109" spans="2:9" s="25" customFormat="1" ht="16.5" thickBot="1">
      <c r="B109" s="40">
        <f t="shared" si="1"/>
        <v>105</v>
      </c>
      <c r="C109" s="27" t="s">
        <v>501</v>
      </c>
      <c r="D109" s="29" t="s">
        <v>311</v>
      </c>
      <c r="E109" s="27" t="s">
        <v>865</v>
      </c>
      <c r="F109" s="27" t="s">
        <v>1728</v>
      </c>
      <c r="G109" s="26"/>
      <c r="H109" s="89" t="s">
        <v>4020</v>
      </c>
      <c r="I109" s="28" t="s">
        <v>961</v>
      </c>
    </row>
    <row r="110" spans="2:9" s="25" customFormat="1" ht="16.5" thickBot="1">
      <c r="B110" s="40">
        <f t="shared" si="1"/>
        <v>106</v>
      </c>
      <c r="C110" s="27" t="s">
        <v>501</v>
      </c>
      <c r="D110" s="29" t="s">
        <v>311</v>
      </c>
      <c r="E110" s="27" t="s">
        <v>865</v>
      </c>
      <c r="F110" s="27" t="s">
        <v>1333</v>
      </c>
      <c r="G110" s="27" t="s">
        <v>949</v>
      </c>
      <c r="H110" s="89" t="s">
        <v>962</v>
      </c>
    </row>
    <row r="111" spans="2:9" s="25" customFormat="1" ht="16.5" thickBot="1">
      <c r="B111" s="40">
        <f t="shared" si="1"/>
        <v>107</v>
      </c>
      <c r="C111" s="27" t="s">
        <v>501</v>
      </c>
      <c r="D111" s="29" t="s">
        <v>311</v>
      </c>
      <c r="E111" s="27" t="s">
        <v>865</v>
      </c>
      <c r="F111" s="27" t="s">
        <v>1333</v>
      </c>
      <c r="G111" s="27" t="s">
        <v>951</v>
      </c>
      <c r="H111" s="89" t="s">
        <v>963</v>
      </c>
    </row>
    <row r="112" spans="2:9" ht="16.5" thickBot="1">
      <c r="B112" s="40">
        <f t="shared" si="1"/>
        <v>108</v>
      </c>
      <c r="C112" s="27" t="s">
        <v>501</v>
      </c>
      <c r="D112" s="29" t="s">
        <v>311</v>
      </c>
      <c r="E112" s="27" t="s">
        <v>865</v>
      </c>
      <c r="F112" s="26"/>
      <c r="G112" s="27" t="s">
        <v>1767</v>
      </c>
      <c r="H112" s="89" t="s">
        <v>964</v>
      </c>
    </row>
    <row r="113" spans="2:9" ht="16.5" thickBot="1">
      <c r="B113" s="40">
        <f t="shared" si="1"/>
        <v>109</v>
      </c>
      <c r="C113" s="27" t="s">
        <v>501</v>
      </c>
      <c r="D113" s="29" t="s">
        <v>311</v>
      </c>
      <c r="E113" s="27" t="s">
        <v>880</v>
      </c>
      <c r="F113" s="27" t="s">
        <v>1763</v>
      </c>
      <c r="G113" s="27" t="s">
        <v>888</v>
      </c>
      <c r="H113" s="89" t="s">
        <v>889</v>
      </c>
    </row>
    <row r="114" spans="2:9" ht="16.5" thickBot="1">
      <c r="B114" s="40">
        <f t="shared" si="1"/>
        <v>110</v>
      </c>
      <c r="C114" s="27" t="s">
        <v>501</v>
      </c>
      <c r="D114" s="71" t="s">
        <v>311</v>
      </c>
      <c r="E114" s="27" t="s">
        <v>880</v>
      </c>
      <c r="F114" s="27" t="s">
        <v>1765</v>
      </c>
      <c r="G114" s="27" t="s">
        <v>892</v>
      </c>
      <c r="H114" s="105" t="s">
        <v>893</v>
      </c>
    </row>
    <row r="115" spans="2:9" s="25" customFormat="1" ht="9" customHeight="1" thickBot="1">
      <c r="B115" s="23">
        <f t="shared" si="1"/>
        <v>111</v>
      </c>
      <c r="C115" s="24"/>
      <c r="D115" s="24"/>
      <c r="E115" s="24"/>
      <c r="F115" s="24"/>
      <c r="G115" s="24"/>
      <c r="H115" s="94"/>
    </row>
    <row r="116" spans="2:9" s="25" customFormat="1" ht="32.25" thickBot="1">
      <c r="B116" s="40">
        <f t="shared" si="1"/>
        <v>112</v>
      </c>
      <c r="C116" s="27" t="s">
        <v>501</v>
      </c>
      <c r="D116" s="29" t="s">
        <v>176</v>
      </c>
      <c r="E116" s="27" t="s">
        <v>865</v>
      </c>
      <c r="F116" s="27" t="s">
        <v>866</v>
      </c>
      <c r="G116" s="26"/>
      <c r="H116" s="89" t="s">
        <v>965</v>
      </c>
    </row>
    <row r="117" spans="2:9" s="25" customFormat="1" ht="32.25" thickBot="1">
      <c r="B117" s="40">
        <f t="shared" si="1"/>
        <v>113</v>
      </c>
      <c r="C117" s="27" t="s">
        <v>501</v>
      </c>
      <c r="D117" s="29" t="s">
        <v>176</v>
      </c>
      <c r="E117" s="27" t="s">
        <v>865</v>
      </c>
      <c r="F117" s="27" t="s">
        <v>1728</v>
      </c>
      <c r="G117" s="26"/>
      <c r="H117" s="89" t="s">
        <v>4021</v>
      </c>
      <c r="I117" s="28" t="s">
        <v>966</v>
      </c>
    </row>
    <row r="118" spans="2:9" s="25" customFormat="1" ht="16.5" thickBot="1">
      <c r="B118" s="40">
        <f t="shared" si="1"/>
        <v>114</v>
      </c>
      <c r="C118" s="27" t="s">
        <v>501</v>
      </c>
      <c r="D118" s="29" t="s">
        <v>176</v>
      </c>
      <c r="E118" s="27" t="s">
        <v>865</v>
      </c>
      <c r="F118" s="27" t="s">
        <v>1333</v>
      </c>
      <c r="G118" s="27" t="s">
        <v>967</v>
      </c>
      <c r="H118" s="89" t="s">
        <v>968</v>
      </c>
    </row>
    <row r="119" spans="2:9" s="25" customFormat="1" ht="16.5" thickBot="1">
      <c r="B119" s="40">
        <f t="shared" si="1"/>
        <v>115</v>
      </c>
      <c r="C119" s="27" t="s">
        <v>501</v>
      </c>
      <c r="D119" s="29" t="s">
        <v>176</v>
      </c>
      <c r="E119" s="27" t="s">
        <v>865</v>
      </c>
      <c r="F119" s="27" t="s">
        <v>1333</v>
      </c>
      <c r="G119" s="27" t="s">
        <v>969</v>
      </c>
      <c r="H119" s="89" t="s">
        <v>970</v>
      </c>
    </row>
    <row r="120" spans="2:9" s="25" customFormat="1" ht="16.5" thickBot="1">
      <c r="B120" s="40">
        <f t="shared" si="1"/>
        <v>116</v>
      </c>
      <c r="C120" s="27" t="s">
        <v>501</v>
      </c>
      <c r="D120" s="29" t="s">
        <v>176</v>
      </c>
      <c r="E120" s="27" t="s">
        <v>865</v>
      </c>
      <c r="F120" s="27" t="s">
        <v>1333</v>
      </c>
      <c r="G120" s="27" t="s">
        <v>971</v>
      </c>
      <c r="H120" s="89" t="s">
        <v>972</v>
      </c>
    </row>
    <row r="121" spans="2:9" s="25" customFormat="1" ht="16.5" thickBot="1">
      <c r="B121" s="40">
        <f t="shared" si="1"/>
        <v>117</v>
      </c>
      <c r="C121" s="27" t="s">
        <v>501</v>
      </c>
      <c r="D121" s="29" t="s">
        <v>176</v>
      </c>
      <c r="E121" s="27" t="s">
        <v>865</v>
      </c>
      <c r="F121" s="27" t="s">
        <v>1333</v>
      </c>
      <c r="G121" s="27" t="s">
        <v>973</v>
      </c>
      <c r="H121" s="89" t="s">
        <v>974</v>
      </c>
    </row>
    <row r="122" spans="2:9" ht="32.25" thickBot="1">
      <c r="B122" s="40">
        <f t="shared" si="1"/>
        <v>118</v>
      </c>
      <c r="C122" s="27" t="s">
        <v>501</v>
      </c>
      <c r="D122" s="29" t="s">
        <v>176</v>
      </c>
      <c r="E122" s="27" t="s">
        <v>880</v>
      </c>
      <c r="F122" s="27" t="s">
        <v>1768</v>
      </c>
      <c r="G122" s="27" t="s">
        <v>975</v>
      </c>
      <c r="H122" s="89" t="s">
        <v>976</v>
      </c>
    </row>
    <row r="123" spans="2:9" ht="16.5" thickBot="1">
      <c r="B123" s="40">
        <f t="shared" si="1"/>
        <v>119</v>
      </c>
      <c r="C123" s="27" t="s">
        <v>501</v>
      </c>
      <c r="D123" s="29" t="s">
        <v>176</v>
      </c>
      <c r="E123" s="27" t="s">
        <v>880</v>
      </c>
      <c r="F123" s="27" t="s">
        <v>740</v>
      </c>
      <c r="G123" s="27" t="s">
        <v>977</v>
      </c>
      <c r="H123" s="88" t="s">
        <v>978</v>
      </c>
    </row>
    <row r="124" spans="2:9" ht="16.5" thickBot="1">
      <c r="B124" s="40">
        <f t="shared" si="1"/>
        <v>120</v>
      </c>
      <c r="C124" s="27" t="s">
        <v>501</v>
      </c>
      <c r="D124" s="29" t="s">
        <v>176</v>
      </c>
      <c r="E124" s="27" t="s">
        <v>880</v>
      </c>
      <c r="F124" s="27" t="s">
        <v>1769</v>
      </c>
      <c r="G124" s="27" t="s">
        <v>979</v>
      </c>
      <c r="H124" s="88" t="s">
        <v>979</v>
      </c>
    </row>
    <row r="125" spans="2:9" ht="16.5" thickBot="1">
      <c r="B125" s="40">
        <f t="shared" si="1"/>
        <v>121</v>
      </c>
      <c r="C125" s="27" t="s">
        <v>501</v>
      </c>
      <c r="D125" s="29" t="s">
        <v>176</v>
      </c>
      <c r="E125" s="27" t="s">
        <v>880</v>
      </c>
      <c r="F125" s="27" t="s">
        <v>740</v>
      </c>
      <c r="G125" s="27" t="s">
        <v>980</v>
      </c>
      <c r="H125" s="89" t="s">
        <v>981</v>
      </c>
    </row>
    <row r="126" spans="2:9" ht="16.5" thickBot="1">
      <c r="B126" s="40">
        <f t="shared" si="1"/>
        <v>122</v>
      </c>
      <c r="C126" s="27" t="s">
        <v>501</v>
      </c>
      <c r="D126" s="29" t="s">
        <v>176</v>
      </c>
      <c r="E126" s="27" t="s">
        <v>880</v>
      </c>
      <c r="F126" s="27" t="s">
        <v>1770</v>
      </c>
      <c r="G126" s="27" t="s">
        <v>982</v>
      </c>
      <c r="H126" s="89" t="s">
        <v>983</v>
      </c>
    </row>
    <row r="127" spans="2:9" s="25" customFormat="1" ht="9" customHeight="1" thickBot="1">
      <c r="B127" s="23">
        <f t="shared" si="1"/>
        <v>123</v>
      </c>
      <c r="C127" s="24"/>
      <c r="D127" s="24"/>
      <c r="E127" s="24"/>
      <c r="F127" s="24"/>
      <c r="G127" s="24"/>
      <c r="H127" s="94"/>
    </row>
    <row r="128" spans="2:9" s="25" customFormat="1" ht="32.25" thickBot="1">
      <c r="B128" s="40">
        <f t="shared" si="1"/>
        <v>124</v>
      </c>
      <c r="C128" s="27" t="s">
        <v>501</v>
      </c>
      <c r="D128" s="29" t="s">
        <v>310</v>
      </c>
      <c r="E128" s="27" t="s">
        <v>865</v>
      </c>
      <c r="F128" s="27" t="s">
        <v>866</v>
      </c>
      <c r="G128" s="26"/>
      <c r="H128" s="89" t="s">
        <v>4022</v>
      </c>
    </row>
    <row r="129" spans="2:9" s="25" customFormat="1" ht="16.5" thickBot="1">
      <c r="B129" s="40">
        <f t="shared" si="1"/>
        <v>125</v>
      </c>
      <c r="C129" s="27" t="s">
        <v>501</v>
      </c>
      <c r="D129" s="29" t="s">
        <v>310</v>
      </c>
      <c r="E129" s="27" t="s">
        <v>865</v>
      </c>
      <c r="F129" s="27" t="s">
        <v>1728</v>
      </c>
      <c r="G129" s="26"/>
      <c r="H129" s="89" t="s">
        <v>4023</v>
      </c>
      <c r="I129" s="28" t="s">
        <v>984</v>
      </c>
    </row>
    <row r="130" spans="2:9" s="25" customFormat="1" ht="16.5" thickBot="1">
      <c r="B130" s="40">
        <f t="shared" si="1"/>
        <v>126</v>
      </c>
      <c r="C130" s="27" t="s">
        <v>501</v>
      </c>
      <c r="D130" s="29" t="s">
        <v>310</v>
      </c>
      <c r="E130" s="27" t="s">
        <v>865</v>
      </c>
      <c r="F130" s="27" t="s">
        <v>1333</v>
      </c>
      <c r="G130" s="27" t="s">
        <v>949</v>
      </c>
      <c r="H130" s="89" t="s">
        <v>985</v>
      </c>
    </row>
    <row r="131" spans="2:9" s="25" customFormat="1" ht="16.5" thickBot="1">
      <c r="B131" s="40">
        <f t="shared" si="1"/>
        <v>127</v>
      </c>
      <c r="C131" s="27" t="s">
        <v>501</v>
      </c>
      <c r="D131" s="29" t="s">
        <v>310</v>
      </c>
      <c r="E131" s="27" t="s">
        <v>865</v>
      </c>
      <c r="F131" s="27" t="s">
        <v>1333</v>
      </c>
      <c r="G131" s="27" t="s">
        <v>951</v>
      </c>
      <c r="H131" s="89" t="s">
        <v>986</v>
      </c>
    </row>
    <row r="132" spans="2:9" ht="16.5" thickBot="1">
      <c r="B132" s="40">
        <f t="shared" si="1"/>
        <v>128</v>
      </c>
      <c r="C132" s="27" t="s">
        <v>501</v>
      </c>
      <c r="D132" s="29" t="s">
        <v>310</v>
      </c>
      <c r="E132" s="27" t="s">
        <v>880</v>
      </c>
      <c r="F132" s="27" t="s">
        <v>1769</v>
      </c>
      <c r="G132" s="27" t="s">
        <v>979</v>
      </c>
      <c r="H132" s="89" t="s">
        <v>979</v>
      </c>
    </row>
    <row r="133" spans="2:9" ht="16.5" thickBot="1">
      <c r="B133" s="40">
        <f t="shared" si="1"/>
        <v>129</v>
      </c>
      <c r="C133" s="27" t="s">
        <v>501</v>
      </c>
      <c r="D133" s="29" t="s">
        <v>310</v>
      </c>
      <c r="E133" s="27" t="s">
        <v>880</v>
      </c>
      <c r="F133" s="27" t="s">
        <v>1771</v>
      </c>
      <c r="G133" s="27" t="s">
        <v>987</v>
      </c>
      <c r="H133" s="89" t="s">
        <v>987</v>
      </c>
    </row>
    <row r="134" spans="2:9" ht="16.5" thickBot="1">
      <c r="B134" s="40">
        <f t="shared" si="1"/>
        <v>130</v>
      </c>
      <c r="C134" s="27" t="s">
        <v>501</v>
      </c>
      <c r="D134" s="29" t="s">
        <v>310</v>
      </c>
      <c r="E134" s="27" t="s">
        <v>880</v>
      </c>
      <c r="F134" s="27" t="s">
        <v>1763</v>
      </c>
      <c r="G134" s="27" t="s">
        <v>888</v>
      </c>
      <c r="H134" s="88" t="s">
        <v>889</v>
      </c>
    </row>
    <row r="135" spans="2:9" s="25" customFormat="1" ht="9" customHeight="1" thickBot="1">
      <c r="B135" s="23">
        <f t="shared" ref="B135" si="2">B134+1</f>
        <v>131</v>
      </c>
      <c r="C135" s="24"/>
      <c r="D135" s="24"/>
      <c r="E135" s="24"/>
      <c r="F135" s="24"/>
      <c r="G135" s="24"/>
      <c r="H135" s="94"/>
    </row>
    <row r="136" spans="2:9" s="25" customFormat="1" ht="32.25" thickBot="1">
      <c r="B136" s="40">
        <f t="shared" ref="B136:B198" si="3">B135+1</f>
        <v>132</v>
      </c>
      <c r="C136" s="27" t="s">
        <v>501</v>
      </c>
      <c r="D136" s="29" t="s">
        <v>309</v>
      </c>
      <c r="E136" s="27" t="s">
        <v>865</v>
      </c>
      <c r="F136" s="27" t="s">
        <v>866</v>
      </c>
      <c r="G136" s="26"/>
      <c r="H136" s="89" t="s">
        <v>988</v>
      </c>
    </row>
    <row r="137" spans="2:9" s="25" customFormat="1" ht="16.5" thickBot="1">
      <c r="B137" s="40">
        <f t="shared" si="3"/>
        <v>133</v>
      </c>
      <c r="C137" s="27" t="s">
        <v>501</v>
      </c>
      <c r="D137" s="29" t="s">
        <v>309</v>
      </c>
      <c r="E137" s="27" t="s">
        <v>865</v>
      </c>
      <c r="F137" s="27" t="s">
        <v>1728</v>
      </c>
      <c r="G137" s="26"/>
      <c r="H137" s="89" t="s">
        <v>4024</v>
      </c>
      <c r="I137" s="28" t="s">
        <v>984</v>
      </c>
    </row>
    <row r="138" spans="2:9" s="25" customFormat="1" ht="16.5" thickBot="1">
      <c r="B138" s="40">
        <f t="shared" si="3"/>
        <v>134</v>
      </c>
      <c r="C138" s="27" t="s">
        <v>501</v>
      </c>
      <c r="D138" s="29" t="s">
        <v>309</v>
      </c>
      <c r="E138" s="27" t="s">
        <v>865</v>
      </c>
      <c r="F138" s="27" t="s">
        <v>1333</v>
      </c>
      <c r="G138" s="27" t="s">
        <v>989</v>
      </c>
      <c r="H138" s="89" t="s">
        <v>990</v>
      </c>
    </row>
    <row r="139" spans="2:9" s="25" customFormat="1" ht="16.5" thickBot="1">
      <c r="B139" s="40">
        <f t="shared" si="3"/>
        <v>135</v>
      </c>
      <c r="C139" s="27" t="s">
        <v>501</v>
      </c>
      <c r="D139" s="29" t="s">
        <v>309</v>
      </c>
      <c r="E139" s="27" t="s">
        <v>865</v>
      </c>
      <c r="F139" s="27" t="s">
        <v>1333</v>
      </c>
      <c r="G139" s="27" t="s">
        <v>921</v>
      </c>
      <c r="H139" s="89" t="s">
        <v>991</v>
      </c>
    </row>
    <row r="140" spans="2:9" s="25" customFormat="1" ht="16.5" thickBot="1">
      <c r="B140" s="40">
        <f t="shared" si="3"/>
        <v>136</v>
      </c>
      <c r="C140" s="27" t="s">
        <v>501</v>
      </c>
      <c r="D140" s="29" t="s">
        <v>309</v>
      </c>
      <c r="E140" s="27" t="s">
        <v>865</v>
      </c>
      <c r="F140" s="27" t="s">
        <v>1333</v>
      </c>
      <c r="G140" s="27" t="s">
        <v>992</v>
      </c>
      <c r="H140" s="89" t="s">
        <v>993</v>
      </c>
    </row>
    <row r="141" spans="2:9" s="25" customFormat="1" ht="16.5" thickBot="1">
      <c r="B141" s="40">
        <f t="shared" si="3"/>
        <v>137</v>
      </c>
      <c r="C141" s="27" t="s">
        <v>501</v>
      </c>
      <c r="D141" s="29" t="s">
        <v>309</v>
      </c>
      <c r="E141" s="27" t="s">
        <v>865</v>
      </c>
      <c r="F141" s="27" t="s">
        <v>1333</v>
      </c>
      <c r="G141" s="27" t="s">
        <v>923</v>
      </c>
      <c r="H141" s="89" t="s">
        <v>994</v>
      </c>
    </row>
    <row r="142" spans="2:9" ht="16.5" thickBot="1">
      <c r="B142" s="40">
        <f t="shared" si="3"/>
        <v>138</v>
      </c>
      <c r="C142" s="27" t="s">
        <v>501</v>
      </c>
      <c r="D142" s="29" t="s">
        <v>309</v>
      </c>
      <c r="E142" s="27" t="s">
        <v>880</v>
      </c>
      <c r="F142" s="27" t="s">
        <v>1769</v>
      </c>
      <c r="G142" s="27" t="s">
        <v>979</v>
      </c>
      <c r="H142" s="88" t="s">
        <v>979</v>
      </c>
    </row>
    <row r="143" spans="2:9" ht="16.5" thickBot="1">
      <c r="B143" s="40">
        <f t="shared" si="3"/>
        <v>139</v>
      </c>
      <c r="C143" s="27" t="s">
        <v>501</v>
      </c>
      <c r="D143" s="29" t="s">
        <v>309</v>
      </c>
      <c r="E143" s="27" t="s">
        <v>880</v>
      </c>
      <c r="F143" s="27" t="s">
        <v>1763</v>
      </c>
      <c r="G143" s="27" t="s">
        <v>888</v>
      </c>
      <c r="H143" s="88" t="s">
        <v>889</v>
      </c>
    </row>
    <row r="144" spans="2:9" ht="16.5" thickBot="1">
      <c r="B144" s="40">
        <f t="shared" si="3"/>
        <v>140</v>
      </c>
      <c r="C144" s="27" t="s">
        <v>501</v>
      </c>
      <c r="D144" s="29" t="s">
        <v>309</v>
      </c>
      <c r="E144" s="27" t="s">
        <v>880</v>
      </c>
      <c r="F144" s="27" t="s">
        <v>1771</v>
      </c>
      <c r="G144" s="27" t="s">
        <v>987</v>
      </c>
      <c r="H144" s="88" t="s">
        <v>987</v>
      </c>
    </row>
    <row r="145" spans="2:9" s="25" customFormat="1" ht="9" customHeight="1" thickBot="1">
      <c r="B145" s="23">
        <f t="shared" si="3"/>
        <v>141</v>
      </c>
      <c r="C145" s="24"/>
      <c r="D145" s="24"/>
      <c r="E145" s="24"/>
      <c r="F145" s="24"/>
      <c r="G145" s="24"/>
      <c r="H145" s="94"/>
    </row>
    <row r="146" spans="2:9" s="25" customFormat="1" ht="32.25" thickBot="1">
      <c r="B146" s="40">
        <f t="shared" si="3"/>
        <v>142</v>
      </c>
      <c r="C146" s="27" t="s">
        <v>501</v>
      </c>
      <c r="D146" s="29" t="s">
        <v>213</v>
      </c>
      <c r="E146" s="27" t="s">
        <v>865</v>
      </c>
      <c r="F146" s="27" t="s">
        <v>866</v>
      </c>
      <c r="G146" s="26"/>
      <c r="H146" s="89" t="s">
        <v>995</v>
      </c>
    </row>
    <row r="147" spans="2:9" s="25" customFormat="1" ht="32.25" thickBot="1">
      <c r="B147" s="40">
        <f t="shared" si="3"/>
        <v>143</v>
      </c>
      <c r="C147" s="27" t="s">
        <v>501</v>
      </c>
      <c r="D147" s="29" t="s">
        <v>213</v>
      </c>
      <c r="E147" s="27" t="s">
        <v>865</v>
      </c>
      <c r="F147" s="27" t="s">
        <v>1728</v>
      </c>
      <c r="G147" s="26"/>
      <c r="H147" s="89" t="s">
        <v>4025</v>
      </c>
      <c r="I147" s="28" t="s">
        <v>996</v>
      </c>
    </row>
    <row r="148" spans="2:9" s="25" customFormat="1" ht="16.5" thickBot="1">
      <c r="B148" s="40">
        <f t="shared" si="3"/>
        <v>144</v>
      </c>
      <c r="C148" s="27" t="s">
        <v>501</v>
      </c>
      <c r="D148" s="29" t="s">
        <v>213</v>
      </c>
      <c r="E148" s="27" t="s">
        <v>865</v>
      </c>
      <c r="F148" s="27" t="s">
        <v>1333</v>
      </c>
      <c r="G148" s="27" t="s">
        <v>997</v>
      </c>
      <c r="H148" s="89" t="s">
        <v>998</v>
      </c>
    </row>
    <row r="149" spans="2:9" s="25" customFormat="1" ht="16.5" thickBot="1">
      <c r="B149" s="40">
        <f t="shared" si="3"/>
        <v>145</v>
      </c>
      <c r="C149" s="27" t="s">
        <v>501</v>
      </c>
      <c r="D149" s="29" t="s">
        <v>213</v>
      </c>
      <c r="E149" s="27" t="s">
        <v>865</v>
      </c>
      <c r="F149" s="27" t="s">
        <v>1333</v>
      </c>
      <c r="G149" s="27" t="s">
        <v>999</v>
      </c>
      <c r="H149" s="89" t="s">
        <v>1000</v>
      </c>
    </row>
    <row r="150" spans="2:9" s="25" customFormat="1" ht="16.5" thickBot="1">
      <c r="B150" s="40">
        <f t="shared" si="3"/>
        <v>146</v>
      </c>
      <c r="C150" s="27" t="s">
        <v>501</v>
      </c>
      <c r="D150" s="29" t="s">
        <v>213</v>
      </c>
      <c r="E150" s="27" t="s">
        <v>865</v>
      </c>
      <c r="F150" s="27" t="s">
        <v>1333</v>
      </c>
      <c r="G150" s="27" t="s">
        <v>971</v>
      </c>
      <c r="H150" s="89" t="s">
        <v>1001</v>
      </c>
    </row>
    <row r="151" spans="2:9" ht="32.25" thickBot="1">
      <c r="B151" s="40">
        <f t="shared" si="3"/>
        <v>147</v>
      </c>
      <c r="C151" s="27" t="s">
        <v>501</v>
      </c>
      <c r="D151" s="29" t="s">
        <v>213</v>
      </c>
      <c r="E151" s="27" t="s">
        <v>880</v>
      </c>
      <c r="F151" s="27" t="s">
        <v>1772</v>
      </c>
      <c r="G151" s="27" t="s">
        <v>975</v>
      </c>
      <c r="H151" s="89" t="s">
        <v>976</v>
      </c>
    </row>
    <row r="152" spans="2:9" ht="16.5" thickBot="1">
      <c r="B152" s="40">
        <f t="shared" si="3"/>
        <v>148</v>
      </c>
      <c r="C152" s="27" t="s">
        <v>501</v>
      </c>
      <c r="D152" s="29" t="s">
        <v>213</v>
      </c>
      <c r="E152" s="27" t="s">
        <v>880</v>
      </c>
      <c r="F152" s="27" t="s">
        <v>740</v>
      </c>
      <c r="G152" s="27" t="s">
        <v>1002</v>
      </c>
      <c r="H152" s="89" t="s">
        <v>978</v>
      </c>
    </row>
    <row r="153" spans="2:9" ht="16.5" thickBot="1">
      <c r="B153" s="40">
        <f t="shared" si="3"/>
        <v>149</v>
      </c>
      <c r="C153" s="27" t="s">
        <v>501</v>
      </c>
      <c r="D153" s="29" t="s">
        <v>213</v>
      </c>
      <c r="E153" s="27" t="s">
        <v>880</v>
      </c>
      <c r="F153" s="27" t="s">
        <v>1769</v>
      </c>
      <c r="G153" s="27" t="s">
        <v>979</v>
      </c>
      <c r="H153" s="89" t="s">
        <v>979</v>
      </c>
    </row>
    <row r="154" spans="2:9" ht="16.5" thickBot="1">
      <c r="B154" s="40">
        <f t="shared" si="3"/>
        <v>150</v>
      </c>
      <c r="C154" s="27" t="s">
        <v>501</v>
      </c>
      <c r="D154" s="29" t="s">
        <v>213</v>
      </c>
      <c r="E154" s="27" t="s">
        <v>880</v>
      </c>
      <c r="F154" s="27" t="s">
        <v>1770</v>
      </c>
      <c r="G154" s="27" t="s">
        <v>1003</v>
      </c>
      <c r="H154" s="89" t="s">
        <v>1004</v>
      </c>
    </row>
    <row r="155" spans="2:9" ht="32.25" thickBot="1">
      <c r="B155" s="40">
        <f t="shared" si="3"/>
        <v>151</v>
      </c>
      <c r="C155" s="27" t="s">
        <v>501</v>
      </c>
      <c r="D155" s="29" t="s">
        <v>213</v>
      </c>
      <c r="E155" s="27" t="s">
        <v>880</v>
      </c>
      <c r="F155" s="27" t="s">
        <v>1773</v>
      </c>
      <c r="G155" s="27" t="s">
        <v>1005</v>
      </c>
      <c r="H155" s="89" t="s">
        <v>1006</v>
      </c>
    </row>
    <row r="156" spans="2:9" ht="16.5" thickBot="1">
      <c r="B156" s="40">
        <f t="shared" si="3"/>
        <v>152</v>
      </c>
      <c r="C156" s="27" t="s">
        <v>501</v>
      </c>
      <c r="D156" s="29" t="s">
        <v>213</v>
      </c>
      <c r="E156" s="27" t="s">
        <v>880</v>
      </c>
      <c r="F156" s="27" t="s">
        <v>1761</v>
      </c>
      <c r="G156" s="27" t="s">
        <v>1007</v>
      </c>
      <c r="H156" s="89" t="s">
        <v>1008</v>
      </c>
    </row>
    <row r="157" spans="2:9" ht="16.5" thickBot="1">
      <c r="B157" s="40">
        <f t="shared" si="3"/>
        <v>153</v>
      </c>
      <c r="C157" s="27" t="s">
        <v>501</v>
      </c>
      <c r="D157" s="71" t="s">
        <v>213</v>
      </c>
      <c r="E157" s="27" t="s">
        <v>880</v>
      </c>
      <c r="F157" s="27" t="s">
        <v>1765</v>
      </c>
      <c r="G157" s="27" t="s">
        <v>1009</v>
      </c>
      <c r="H157" s="104" t="s">
        <v>1010</v>
      </c>
    </row>
    <row r="158" spans="2:9" ht="16.5" thickBot="1">
      <c r="B158" s="40">
        <f t="shared" si="3"/>
        <v>154</v>
      </c>
      <c r="C158" s="27" t="s">
        <v>501</v>
      </c>
      <c r="D158" s="71" t="s">
        <v>213</v>
      </c>
      <c r="E158" s="27" t="s">
        <v>880</v>
      </c>
      <c r="F158" s="27" t="s">
        <v>1774</v>
      </c>
      <c r="G158" s="27" t="s">
        <v>1011</v>
      </c>
      <c r="H158" s="104" t="s">
        <v>1012</v>
      </c>
    </row>
    <row r="159" spans="2:9" ht="16.5" thickBot="1">
      <c r="B159" s="40">
        <f t="shared" si="3"/>
        <v>155</v>
      </c>
      <c r="C159" s="27" t="s">
        <v>501</v>
      </c>
      <c r="D159" s="71" t="s">
        <v>213</v>
      </c>
      <c r="E159" s="27" t="s">
        <v>880</v>
      </c>
      <c r="F159" s="27" t="s">
        <v>738</v>
      </c>
      <c r="G159" s="27" t="s">
        <v>1013</v>
      </c>
      <c r="H159" s="104" t="s">
        <v>1014</v>
      </c>
    </row>
    <row r="160" spans="2:9" ht="16.5" thickBot="1">
      <c r="B160" s="40">
        <f t="shared" si="3"/>
        <v>156</v>
      </c>
      <c r="C160" s="27" t="s">
        <v>501</v>
      </c>
      <c r="D160" s="71" t="s">
        <v>213</v>
      </c>
      <c r="E160" s="27" t="s">
        <v>880</v>
      </c>
      <c r="F160" s="27" t="s">
        <v>1765</v>
      </c>
      <c r="G160" s="27" t="s">
        <v>892</v>
      </c>
      <c r="H160" s="104" t="s">
        <v>893</v>
      </c>
    </row>
    <row r="161" spans="2:9" ht="16.5" thickBot="1">
      <c r="B161" s="40">
        <f t="shared" si="3"/>
        <v>157</v>
      </c>
      <c r="C161" s="27" t="s">
        <v>501</v>
      </c>
      <c r="D161" s="71" t="s">
        <v>213</v>
      </c>
      <c r="E161" s="27" t="s">
        <v>880</v>
      </c>
      <c r="F161" s="27" t="s">
        <v>1763</v>
      </c>
      <c r="G161" s="27" t="s">
        <v>888</v>
      </c>
      <c r="H161" s="104" t="s">
        <v>889</v>
      </c>
    </row>
    <row r="162" spans="2:9" ht="16.5" thickBot="1">
      <c r="B162" s="40">
        <f t="shared" si="3"/>
        <v>158</v>
      </c>
      <c r="C162" s="27" t="s">
        <v>501</v>
      </c>
      <c r="D162" s="71" t="s">
        <v>213</v>
      </c>
      <c r="E162" s="27" t="s">
        <v>880</v>
      </c>
      <c r="F162" s="27" t="s">
        <v>1762</v>
      </c>
      <c r="G162" s="27" t="s">
        <v>886</v>
      </c>
      <c r="H162" s="104" t="s">
        <v>886</v>
      </c>
    </row>
    <row r="163" spans="2:9" s="25" customFormat="1" ht="9" customHeight="1" thickBot="1">
      <c r="B163" s="23">
        <f t="shared" si="3"/>
        <v>159</v>
      </c>
      <c r="C163" s="24"/>
      <c r="D163" s="24"/>
      <c r="E163" s="24"/>
      <c r="F163" s="24"/>
      <c r="G163" s="24"/>
      <c r="H163" s="94"/>
    </row>
    <row r="164" spans="2:9" s="25" customFormat="1" ht="79.5" thickBot="1">
      <c r="B164" s="40">
        <f t="shared" si="3"/>
        <v>160</v>
      </c>
      <c r="C164" s="27" t="s">
        <v>501</v>
      </c>
      <c r="D164" s="29" t="s">
        <v>254</v>
      </c>
      <c r="E164" s="27" t="s">
        <v>865</v>
      </c>
      <c r="F164" s="27" t="s">
        <v>866</v>
      </c>
      <c r="G164" s="26"/>
      <c r="H164" s="89" t="s">
        <v>1015</v>
      </c>
    </row>
    <row r="165" spans="2:9" s="25" customFormat="1" ht="16.5" thickBot="1">
      <c r="B165" s="40">
        <f t="shared" si="3"/>
        <v>161</v>
      </c>
      <c r="C165" s="27" t="s">
        <v>501</v>
      </c>
      <c r="D165" s="29" t="s">
        <v>254</v>
      </c>
      <c r="E165" s="27" t="s">
        <v>865</v>
      </c>
      <c r="F165" s="27" t="s">
        <v>1728</v>
      </c>
      <c r="G165" s="26"/>
      <c r="H165" s="89" t="s">
        <v>4026</v>
      </c>
      <c r="I165" s="28" t="s">
        <v>1016</v>
      </c>
    </row>
    <row r="166" spans="2:9" s="25" customFormat="1" ht="16.5" thickBot="1">
      <c r="B166" s="40">
        <f t="shared" si="3"/>
        <v>162</v>
      </c>
      <c r="C166" s="27" t="s">
        <v>501</v>
      </c>
      <c r="D166" s="29" t="s">
        <v>254</v>
      </c>
      <c r="E166" s="27" t="s">
        <v>865</v>
      </c>
      <c r="F166" s="27" t="s">
        <v>1333</v>
      </c>
      <c r="G166" s="27" t="s">
        <v>1017</v>
      </c>
      <c r="H166" s="89" t="s">
        <v>1018</v>
      </c>
    </row>
    <row r="167" spans="2:9" s="25" customFormat="1" ht="16.5" thickBot="1">
      <c r="B167" s="40">
        <f t="shared" si="3"/>
        <v>163</v>
      </c>
      <c r="C167" s="27" t="s">
        <v>501</v>
      </c>
      <c r="D167" s="29" t="s">
        <v>254</v>
      </c>
      <c r="E167" s="27" t="s">
        <v>865</v>
      </c>
      <c r="F167" s="27" t="s">
        <v>1333</v>
      </c>
      <c r="G167" s="27" t="s">
        <v>1019</v>
      </c>
      <c r="H167" s="89" t="s">
        <v>1018</v>
      </c>
    </row>
    <row r="168" spans="2:9" s="25" customFormat="1" ht="16.5" thickBot="1">
      <c r="B168" s="40">
        <f t="shared" si="3"/>
        <v>164</v>
      </c>
      <c r="C168" s="27" t="s">
        <v>501</v>
      </c>
      <c r="D168" s="29" t="s">
        <v>254</v>
      </c>
      <c r="E168" s="27" t="s">
        <v>865</v>
      </c>
      <c r="F168" s="27" t="s">
        <v>1333</v>
      </c>
      <c r="G168" s="27" t="s">
        <v>971</v>
      </c>
      <c r="H168" s="89" t="s">
        <v>1020</v>
      </c>
    </row>
    <row r="169" spans="2:9" s="25" customFormat="1" ht="16.5" thickBot="1">
      <c r="B169" s="40">
        <f t="shared" si="3"/>
        <v>165</v>
      </c>
      <c r="C169" s="27" t="s">
        <v>501</v>
      </c>
      <c r="D169" s="29" t="s">
        <v>254</v>
      </c>
      <c r="E169" s="27" t="s">
        <v>865</v>
      </c>
      <c r="F169" s="27" t="s">
        <v>1333</v>
      </c>
      <c r="G169" s="27" t="s">
        <v>1021</v>
      </c>
      <c r="H169" s="89" t="s">
        <v>1022</v>
      </c>
    </row>
    <row r="170" spans="2:9" ht="16.5" thickBot="1">
      <c r="B170" s="40">
        <f t="shared" si="3"/>
        <v>166</v>
      </c>
      <c r="C170" s="27" t="s">
        <v>501</v>
      </c>
      <c r="D170" s="29" t="s">
        <v>254</v>
      </c>
      <c r="E170" s="27" t="s">
        <v>880</v>
      </c>
      <c r="F170" s="27" t="s">
        <v>740</v>
      </c>
      <c r="G170" s="27" t="s">
        <v>1002</v>
      </c>
      <c r="H170" s="89" t="s">
        <v>978</v>
      </c>
    </row>
    <row r="171" spans="2:9" ht="16.5" thickBot="1">
      <c r="B171" s="40">
        <f t="shared" si="3"/>
        <v>167</v>
      </c>
      <c r="C171" s="27" t="s">
        <v>501</v>
      </c>
      <c r="D171" s="29" t="s">
        <v>254</v>
      </c>
      <c r="E171" s="27" t="s">
        <v>880</v>
      </c>
      <c r="F171" s="27" t="s">
        <v>1763</v>
      </c>
      <c r="G171" s="27" t="s">
        <v>888</v>
      </c>
      <c r="H171" s="89" t="s">
        <v>889</v>
      </c>
    </row>
    <row r="172" spans="2:9" ht="16.5" thickBot="1">
      <c r="B172" s="40">
        <f t="shared" si="3"/>
        <v>168</v>
      </c>
      <c r="C172" s="27" t="s">
        <v>501</v>
      </c>
      <c r="D172" s="29" t="s">
        <v>254</v>
      </c>
      <c r="E172" s="27" t="s">
        <v>880</v>
      </c>
      <c r="F172" s="27" t="s">
        <v>1774</v>
      </c>
      <c r="G172" s="27" t="s">
        <v>1011</v>
      </c>
      <c r="H172" s="89" t="s">
        <v>1012</v>
      </c>
    </row>
    <row r="173" spans="2:9" s="25" customFormat="1" ht="9" customHeight="1" thickBot="1">
      <c r="B173" s="23">
        <f t="shared" si="3"/>
        <v>169</v>
      </c>
      <c r="C173" s="24"/>
      <c r="D173" s="24"/>
      <c r="E173" s="24"/>
      <c r="F173" s="24"/>
      <c r="G173" s="24"/>
      <c r="H173" s="94"/>
    </row>
    <row r="174" spans="2:9" s="25" customFormat="1" ht="48" thickBot="1">
      <c r="B174" s="40">
        <f t="shared" si="3"/>
        <v>170</v>
      </c>
      <c r="C174" s="27" t="s">
        <v>501</v>
      </c>
      <c r="D174" s="29" t="s">
        <v>308</v>
      </c>
      <c r="E174" s="27" t="s">
        <v>865</v>
      </c>
      <c r="F174" s="27" t="s">
        <v>866</v>
      </c>
      <c r="G174" s="26"/>
      <c r="H174" s="89" t="s">
        <v>4027</v>
      </c>
    </row>
    <row r="175" spans="2:9" s="25" customFormat="1" ht="16.5" thickBot="1">
      <c r="B175" s="40">
        <f t="shared" si="3"/>
        <v>171</v>
      </c>
      <c r="C175" s="27" t="s">
        <v>501</v>
      </c>
      <c r="D175" s="29" t="s">
        <v>308</v>
      </c>
      <c r="E175" s="27" t="s">
        <v>865</v>
      </c>
      <c r="F175" s="27" t="s">
        <v>1728</v>
      </c>
      <c r="G175" s="26"/>
      <c r="H175" s="89" t="s">
        <v>4028</v>
      </c>
      <c r="I175" s="28" t="s">
        <v>1023</v>
      </c>
    </row>
    <row r="176" spans="2:9" s="25" customFormat="1" ht="16.5" thickBot="1">
      <c r="B176" s="40">
        <f t="shared" si="3"/>
        <v>172</v>
      </c>
      <c r="C176" s="27" t="s">
        <v>501</v>
      </c>
      <c r="D176" s="29" t="s">
        <v>308</v>
      </c>
      <c r="E176" s="27" t="s">
        <v>865</v>
      </c>
      <c r="F176" s="27" t="s">
        <v>1333</v>
      </c>
      <c r="G176" s="27" t="s">
        <v>923</v>
      </c>
      <c r="H176" s="89" t="s">
        <v>1024</v>
      </c>
    </row>
    <row r="177" spans="2:9" s="25" customFormat="1" ht="16.5" thickBot="1">
      <c r="B177" s="40">
        <f t="shared" si="3"/>
        <v>173</v>
      </c>
      <c r="C177" s="27" t="s">
        <v>501</v>
      </c>
      <c r="D177" s="29" t="s">
        <v>308</v>
      </c>
      <c r="E177" s="27" t="s">
        <v>865</v>
      </c>
      <c r="F177" s="27" t="s">
        <v>1333</v>
      </c>
      <c r="G177" s="27" t="s">
        <v>923</v>
      </c>
      <c r="H177" s="89" t="s">
        <v>1024</v>
      </c>
    </row>
    <row r="178" spans="2:9" s="25" customFormat="1" ht="16.5" thickBot="1">
      <c r="B178" s="40">
        <f t="shared" si="3"/>
        <v>174</v>
      </c>
      <c r="C178" s="27" t="s">
        <v>501</v>
      </c>
      <c r="D178" s="29" t="s">
        <v>308</v>
      </c>
      <c r="E178" s="27" t="s">
        <v>865</v>
      </c>
      <c r="F178" s="27" t="s">
        <v>1333</v>
      </c>
      <c r="G178" s="27" t="s">
        <v>989</v>
      </c>
      <c r="H178" s="89" t="s">
        <v>1025</v>
      </c>
    </row>
    <row r="179" spans="2:9" s="25" customFormat="1" ht="16.5" thickBot="1">
      <c r="B179" s="40">
        <f t="shared" si="3"/>
        <v>175</v>
      </c>
      <c r="C179" s="27" t="s">
        <v>501</v>
      </c>
      <c r="D179" s="29" t="s">
        <v>308</v>
      </c>
      <c r="E179" s="27" t="s">
        <v>865</v>
      </c>
      <c r="F179" s="27" t="s">
        <v>1333</v>
      </c>
      <c r="G179" s="27" t="s">
        <v>992</v>
      </c>
      <c r="H179" s="89" t="s">
        <v>1025</v>
      </c>
    </row>
    <row r="180" spans="2:9" ht="16.5" thickBot="1">
      <c r="B180" s="40">
        <f t="shared" si="3"/>
        <v>176</v>
      </c>
      <c r="C180" s="27" t="s">
        <v>501</v>
      </c>
      <c r="D180" s="29" t="s">
        <v>308</v>
      </c>
      <c r="E180" s="27" t="s">
        <v>880</v>
      </c>
      <c r="F180" s="27" t="s">
        <v>740</v>
      </c>
      <c r="G180" s="27" t="s">
        <v>977</v>
      </c>
      <c r="H180" s="89" t="s">
        <v>978</v>
      </c>
    </row>
    <row r="181" spans="2:9" ht="16.5" thickBot="1">
      <c r="B181" s="40">
        <f t="shared" si="3"/>
        <v>177</v>
      </c>
      <c r="C181" s="27" t="s">
        <v>501</v>
      </c>
      <c r="D181" s="29" t="s">
        <v>308</v>
      </c>
      <c r="E181" s="27" t="s">
        <v>880</v>
      </c>
      <c r="F181" s="27" t="s">
        <v>1763</v>
      </c>
      <c r="G181" s="27" t="s">
        <v>888</v>
      </c>
      <c r="H181" s="89" t="s">
        <v>889</v>
      </c>
    </row>
    <row r="182" spans="2:9" s="25" customFormat="1" ht="9" customHeight="1" thickBot="1">
      <c r="B182" s="23">
        <f t="shared" si="3"/>
        <v>178</v>
      </c>
      <c r="C182" s="24"/>
      <c r="D182" s="24"/>
      <c r="E182" s="24"/>
      <c r="F182" s="24"/>
      <c r="G182" s="24"/>
      <c r="H182" s="94"/>
    </row>
    <row r="183" spans="2:9" s="25" customFormat="1" ht="16.5" thickBot="1">
      <c r="B183" s="40">
        <f t="shared" si="3"/>
        <v>179</v>
      </c>
      <c r="C183" s="27" t="s">
        <v>501</v>
      </c>
      <c r="D183" s="29" t="s">
        <v>307</v>
      </c>
      <c r="E183" s="27" t="s">
        <v>865</v>
      </c>
      <c r="F183" s="27" t="s">
        <v>866</v>
      </c>
      <c r="G183" s="26"/>
      <c r="H183" s="89" t="s">
        <v>1026</v>
      </c>
    </row>
    <row r="184" spans="2:9" s="25" customFormat="1" ht="16.5" thickBot="1">
      <c r="B184" s="40">
        <f t="shared" si="3"/>
        <v>180</v>
      </c>
      <c r="C184" s="27" t="s">
        <v>501</v>
      </c>
      <c r="D184" s="29" t="s">
        <v>307</v>
      </c>
      <c r="E184" s="27" t="s">
        <v>865</v>
      </c>
      <c r="F184" s="27" t="s">
        <v>1728</v>
      </c>
      <c r="G184" s="26"/>
      <c r="H184" s="89" t="s">
        <v>4029</v>
      </c>
      <c r="I184" s="28" t="s">
        <v>1027</v>
      </c>
    </row>
    <row r="185" spans="2:9" s="25" customFormat="1" ht="16.5" thickBot="1">
      <c r="B185" s="40">
        <f t="shared" si="3"/>
        <v>181</v>
      </c>
      <c r="C185" s="27" t="s">
        <v>501</v>
      </c>
      <c r="D185" s="29" t="s">
        <v>307</v>
      </c>
      <c r="E185" s="27" t="s">
        <v>865</v>
      </c>
      <c r="F185" s="27" t="s">
        <v>1333</v>
      </c>
      <c r="G185" s="27" t="s">
        <v>921</v>
      </c>
      <c r="H185" s="89" t="s">
        <v>1028</v>
      </c>
    </row>
    <row r="186" spans="2:9" s="25" customFormat="1" ht="16.5" thickBot="1">
      <c r="B186" s="40">
        <f t="shared" si="3"/>
        <v>182</v>
      </c>
      <c r="C186" s="27" t="s">
        <v>501</v>
      </c>
      <c r="D186" s="29" t="s">
        <v>307</v>
      </c>
      <c r="E186" s="27" t="s">
        <v>865</v>
      </c>
      <c r="F186" s="27" t="s">
        <v>1333</v>
      </c>
      <c r="G186" s="27" t="s">
        <v>923</v>
      </c>
      <c r="H186" s="89" t="s">
        <v>1029</v>
      </c>
    </row>
    <row r="187" spans="2:9" s="25" customFormat="1" ht="16.5" thickBot="1">
      <c r="B187" s="40">
        <f t="shared" si="3"/>
        <v>183</v>
      </c>
      <c r="C187" s="27" t="s">
        <v>501</v>
      </c>
      <c r="D187" s="29" t="s">
        <v>307</v>
      </c>
      <c r="E187" s="27" t="s">
        <v>865</v>
      </c>
      <c r="F187" s="27" t="s">
        <v>1333</v>
      </c>
      <c r="G187" s="27" t="s">
        <v>989</v>
      </c>
      <c r="H187" s="89" t="s">
        <v>1030</v>
      </c>
    </row>
    <row r="188" spans="2:9" s="25" customFormat="1" ht="16.5" thickBot="1">
      <c r="B188" s="40">
        <f t="shared" si="3"/>
        <v>184</v>
      </c>
      <c r="C188" s="27" t="s">
        <v>501</v>
      </c>
      <c r="D188" s="29" t="s">
        <v>307</v>
      </c>
      <c r="E188" s="27" t="s">
        <v>865</v>
      </c>
      <c r="F188" s="27" t="s">
        <v>1333</v>
      </c>
      <c r="G188" s="27" t="s">
        <v>992</v>
      </c>
      <c r="H188" s="89" t="s">
        <v>1030</v>
      </c>
    </row>
    <row r="189" spans="2:9" ht="16.5" thickBot="1">
      <c r="B189" s="40">
        <f t="shared" si="3"/>
        <v>185</v>
      </c>
      <c r="C189" s="27" t="s">
        <v>501</v>
      </c>
      <c r="D189" s="29" t="s">
        <v>307</v>
      </c>
      <c r="E189" s="27" t="s">
        <v>880</v>
      </c>
      <c r="F189" s="27" t="s">
        <v>1769</v>
      </c>
      <c r="G189" s="27" t="s">
        <v>979</v>
      </c>
      <c r="H189" s="89" t="s">
        <v>979</v>
      </c>
    </row>
    <row r="190" spans="2:9" ht="16.5" thickBot="1">
      <c r="B190" s="40">
        <f t="shared" si="3"/>
        <v>186</v>
      </c>
      <c r="C190" s="27" t="s">
        <v>501</v>
      </c>
      <c r="D190" s="29" t="s">
        <v>307</v>
      </c>
      <c r="E190" s="27" t="s">
        <v>880</v>
      </c>
      <c r="F190" s="27" t="s">
        <v>740</v>
      </c>
      <c r="G190" s="27" t="s">
        <v>977</v>
      </c>
      <c r="H190" s="89" t="s">
        <v>978</v>
      </c>
    </row>
    <row r="191" spans="2:9" ht="16.5" thickBot="1">
      <c r="B191" s="40">
        <f t="shared" si="3"/>
        <v>187</v>
      </c>
      <c r="C191" s="27" t="s">
        <v>501</v>
      </c>
      <c r="D191" s="29" t="s">
        <v>307</v>
      </c>
      <c r="E191" s="27" t="s">
        <v>880</v>
      </c>
      <c r="F191" s="27" t="s">
        <v>1763</v>
      </c>
      <c r="G191" s="27" t="s">
        <v>888</v>
      </c>
      <c r="H191" s="89" t="s">
        <v>889</v>
      </c>
    </row>
    <row r="192" spans="2:9" ht="16.5" thickBot="1">
      <c r="B192" s="40">
        <f t="shared" si="3"/>
        <v>188</v>
      </c>
      <c r="C192" s="27" t="s">
        <v>501</v>
      </c>
      <c r="D192" s="29" t="s">
        <v>307</v>
      </c>
      <c r="E192" s="27" t="s">
        <v>880</v>
      </c>
      <c r="F192" s="27" t="s">
        <v>1771</v>
      </c>
      <c r="G192" s="27" t="s">
        <v>987</v>
      </c>
      <c r="H192" s="89" t="s">
        <v>987</v>
      </c>
    </row>
    <row r="193" spans="2:9" s="25" customFormat="1" ht="9" customHeight="1" thickBot="1">
      <c r="B193" s="23">
        <f t="shared" si="3"/>
        <v>189</v>
      </c>
      <c r="C193" s="24"/>
      <c r="D193" s="24"/>
      <c r="E193" s="24"/>
      <c r="F193" s="24"/>
      <c r="G193" s="24"/>
      <c r="H193" s="94"/>
    </row>
    <row r="194" spans="2:9" s="25" customFormat="1" ht="32.25" thickBot="1">
      <c r="B194" s="40">
        <f t="shared" si="3"/>
        <v>190</v>
      </c>
      <c r="C194" s="27" t="s">
        <v>501</v>
      </c>
      <c r="D194" s="29" t="s">
        <v>175</v>
      </c>
      <c r="E194" s="27" t="s">
        <v>865</v>
      </c>
      <c r="F194" s="27" t="s">
        <v>866</v>
      </c>
      <c r="G194" s="26"/>
      <c r="H194" s="89" t="s">
        <v>1031</v>
      </c>
    </row>
    <row r="195" spans="2:9" s="25" customFormat="1" ht="16.5" thickBot="1">
      <c r="B195" s="40">
        <f t="shared" si="3"/>
        <v>191</v>
      </c>
      <c r="C195" s="27" t="s">
        <v>501</v>
      </c>
      <c r="D195" s="29" t="s">
        <v>175</v>
      </c>
      <c r="E195" s="27" t="s">
        <v>865</v>
      </c>
      <c r="F195" s="27" t="s">
        <v>1728</v>
      </c>
      <c r="G195" s="26"/>
      <c r="H195" s="89" t="s">
        <v>4030</v>
      </c>
      <c r="I195" s="28" t="s">
        <v>1032</v>
      </c>
    </row>
    <row r="196" spans="2:9" s="25" customFormat="1" ht="16.5" thickBot="1">
      <c r="B196" s="40">
        <f t="shared" si="3"/>
        <v>192</v>
      </c>
      <c r="C196" s="27" t="s">
        <v>501</v>
      </c>
      <c r="D196" s="29" t="s">
        <v>175</v>
      </c>
      <c r="E196" s="27" t="s">
        <v>865</v>
      </c>
      <c r="F196" s="27" t="s">
        <v>1333</v>
      </c>
      <c r="G196" s="27" t="s">
        <v>1033</v>
      </c>
      <c r="H196" s="89" t="s">
        <v>1034</v>
      </c>
    </row>
    <row r="197" spans="2:9" s="25" customFormat="1" ht="16.5" thickBot="1">
      <c r="B197" s="40">
        <f t="shared" si="3"/>
        <v>193</v>
      </c>
      <c r="C197" s="27" t="s">
        <v>501</v>
      </c>
      <c r="D197" s="29" t="s">
        <v>175</v>
      </c>
      <c r="E197" s="27" t="s">
        <v>865</v>
      </c>
      <c r="F197" s="27" t="s">
        <v>1333</v>
      </c>
      <c r="G197" s="27" t="s">
        <v>1035</v>
      </c>
      <c r="H197" s="89" t="s">
        <v>1036</v>
      </c>
    </row>
    <row r="198" spans="2:9" s="25" customFormat="1" ht="16.5" thickBot="1">
      <c r="B198" s="40">
        <f t="shared" si="3"/>
        <v>194</v>
      </c>
      <c r="C198" s="27" t="s">
        <v>501</v>
      </c>
      <c r="D198" s="29" t="s">
        <v>175</v>
      </c>
      <c r="E198" s="27" t="s">
        <v>865</v>
      </c>
      <c r="F198" s="27" t="s">
        <v>1333</v>
      </c>
      <c r="G198" s="27" t="s">
        <v>1037</v>
      </c>
      <c r="H198" s="89" t="s">
        <v>1038</v>
      </c>
    </row>
    <row r="199" spans="2:9" s="25" customFormat="1" ht="16.5" thickBot="1">
      <c r="B199" s="40">
        <f t="shared" ref="B199:B240" si="4">B198+1</f>
        <v>195</v>
      </c>
      <c r="C199" s="27" t="s">
        <v>501</v>
      </c>
      <c r="D199" s="29" t="s">
        <v>175</v>
      </c>
      <c r="E199" s="27" t="s">
        <v>865</v>
      </c>
      <c r="F199" s="27" t="s">
        <v>1333</v>
      </c>
      <c r="G199" s="27" t="s">
        <v>1033</v>
      </c>
      <c r="H199" s="89" t="s">
        <v>1039</v>
      </c>
    </row>
    <row r="200" spans="2:9" s="25" customFormat="1" ht="16.5" thickBot="1">
      <c r="B200" s="40">
        <f t="shared" si="4"/>
        <v>196</v>
      </c>
      <c r="C200" s="27" t="s">
        <v>501</v>
      </c>
      <c r="D200" s="29" t="s">
        <v>175</v>
      </c>
      <c r="E200" s="27" t="s">
        <v>865</v>
      </c>
      <c r="F200" s="27" t="s">
        <v>1333</v>
      </c>
      <c r="G200" s="27" t="s">
        <v>971</v>
      </c>
      <c r="H200" s="89" t="s">
        <v>1040</v>
      </c>
    </row>
    <row r="201" spans="2:9" s="25" customFormat="1" ht="16.5" thickBot="1">
      <c r="B201" s="40">
        <f t="shared" si="4"/>
        <v>197</v>
      </c>
      <c r="C201" s="27" t="s">
        <v>501</v>
      </c>
      <c r="D201" s="29" t="s">
        <v>175</v>
      </c>
      <c r="E201" s="27" t="s">
        <v>865</v>
      </c>
      <c r="F201" s="27" t="s">
        <v>1333</v>
      </c>
      <c r="G201" s="27" t="s">
        <v>973</v>
      </c>
      <c r="H201" s="89" t="s">
        <v>1041</v>
      </c>
    </row>
    <row r="202" spans="2:9" ht="32.25" thickBot="1">
      <c r="B202" s="40">
        <f t="shared" si="4"/>
        <v>198</v>
      </c>
      <c r="C202" s="27" t="s">
        <v>501</v>
      </c>
      <c r="D202" s="29" t="s">
        <v>175</v>
      </c>
      <c r="E202" s="27" t="s">
        <v>880</v>
      </c>
      <c r="F202" s="27" t="s">
        <v>1772</v>
      </c>
      <c r="G202" s="27" t="s">
        <v>975</v>
      </c>
      <c r="H202" s="89" t="s">
        <v>976</v>
      </c>
    </row>
    <row r="203" spans="2:9" ht="16.5" thickBot="1">
      <c r="B203" s="40">
        <f t="shared" si="4"/>
        <v>199</v>
      </c>
      <c r="C203" s="27" t="s">
        <v>501</v>
      </c>
      <c r="D203" s="29" t="s">
        <v>175</v>
      </c>
      <c r="E203" s="27" t="s">
        <v>880</v>
      </c>
      <c r="F203" s="27" t="s">
        <v>740</v>
      </c>
      <c r="G203" s="27" t="s">
        <v>1002</v>
      </c>
      <c r="H203" s="89" t="s">
        <v>978</v>
      </c>
    </row>
    <row r="204" spans="2:9" ht="16.5" thickBot="1">
      <c r="B204" s="40">
        <f t="shared" si="4"/>
        <v>200</v>
      </c>
      <c r="C204" s="27" t="s">
        <v>501</v>
      </c>
      <c r="D204" s="29" t="s">
        <v>175</v>
      </c>
      <c r="E204" s="27" t="s">
        <v>880</v>
      </c>
      <c r="F204" s="27" t="s">
        <v>1769</v>
      </c>
      <c r="G204" s="27" t="s">
        <v>979</v>
      </c>
      <c r="H204" s="89" t="s">
        <v>979</v>
      </c>
    </row>
    <row r="205" spans="2:9" ht="16.5" thickBot="1">
      <c r="B205" s="40">
        <f t="shared" si="4"/>
        <v>201</v>
      </c>
      <c r="C205" s="27" t="s">
        <v>501</v>
      </c>
      <c r="D205" s="29" t="s">
        <v>175</v>
      </c>
      <c r="E205" s="27" t="s">
        <v>880</v>
      </c>
      <c r="F205" s="27" t="s">
        <v>743</v>
      </c>
      <c r="G205" s="27" t="s">
        <v>1042</v>
      </c>
      <c r="H205" s="89" t="s">
        <v>1043</v>
      </c>
    </row>
    <row r="206" spans="2:9" ht="16.5" thickBot="1">
      <c r="B206" s="40">
        <f t="shared" si="4"/>
        <v>202</v>
      </c>
      <c r="C206" s="27" t="s">
        <v>501</v>
      </c>
      <c r="D206" s="29" t="s">
        <v>175</v>
      </c>
      <c r="E206" s="27" t="s">
        <v>880</v>
      </c>
      <c r="F206" s="27" t="s">
        <v>1775</v>
      </c>
      <c r="G206" s="27" t="s">
        <v>1044</v>
      </c>
      <c r="H206" s="89" t="s">
        <v>1045</v>
      </c>
    </row>
    <row r="207" spans="2:9" ht="16.5" thickBot="1">
      <c r="B207" s="40">
        <f t="shared" si="4"/>
        <v>203</v>
      </c>
      <c r="C207" s="27" t="s">
        <v>501</v>
      </c>
      <c r="D207" s="29" t="s">
        <v>175</v>
      </c>
      <c r="E207" s="27" t="s">
        <v>880</v>
      </c>
      <c r="F207" s="27" t="s">
        <v>1776</v>
      </c>
      <c r="G207" s="27" t="s">
        <v>1046</v>
      </c>
      <c r="H207" s="89" t="s">
        <v>981</v>
      </c>
    </row>
    <row r="208" spans="2:9" ht="16.5" thickBot="1">
      <c r="B208" s="40">
        <f t="shared" si="4"/>
        <v>204</v>
      </c>
      <c r="C208" s="27" t="s">
        <v>501</v>
      </c>
      <c r="D208" s="29" t="s">
        <v>175</v>
      </c>
      <c r="E208" s="27" t="s">
        <v>880</v>
      </c>
      <c r="F208" s="27" t="s">
        <v>1771</v>
      </c>
      <c r="G208" s="27" t="s">
        <v>987</v>
      </c>
      <c r="H208" s="89" t="s">
        <v>987</v>
      </c>
    </row>
    <row r="209" spans="2:9" ht="16.5" thickBot="1">
      <c r="B209" s="67">
        <f t="shared" si="4"/>
        <v>205</v>
      </c>
      <c r="C209" s="68" t="s">
        <v>501</v>
      </c>
      <c r="D209" s="68" t="s">
        <v>175</v>
      </c>
      <c r="E209" s="68" t="s">
        <v>880</v>
      </c>
      <c r="F209" s="68" t="s">
        <v>1763</v>
      </c>
      <c r="G209" s="68" t="s">
        <v>1047</v>
      </c>
      <c r="H209" s="99" t="s">
        <v>1047</v>
      </c>
    </row>
    <row r="210" spans="2:9" ht="16.5" thickBot="1">
      <c r="B210" s="40">
        <f t="shared" si="4"/>
        <v>206</v>
      </c>
      <c r="C210" s="27" t="s">
        <v>501</v>
      </c>
      <c r="D210" s="29" t="s">
        <v>175</v>
      </c>
      <c r="E210" s="27" t="s">
        <v>880</v>
      </c>
      <c r="F210" s="27" t="s">
        <v>1763</v>
      </c>
      <c r="G210" s="27" t="s">
        <v>888</v>
      </c>
      <c r="H210" s="89" t="s">
        <v>889</v>
      </c>
    </row>
    <row r="211" spans="2:9" s="25" customFormat="1" ht="9" customHeight="1" thickBot="1">
      <c r="B211" s="23">
        <f t="shared" si="4"/>
        <v>207</v>
      </c>
      <c r="C211" s="24"/>
      <c r="D211" s="24"/>
      <c r="E211" s="24"/>
      <c r="F211" s="24"/>
      <c r="G211" s="24"/>
      <c r="H211" s="94"/>
    </row>
    <row r="212" spans="2:9" s="25" customFormat="1" ht="32.25" thickBot="1">
      <c r="B212" s="40">
        <f t="shared" si="4"/>
        <v>208</v>
      </c>
      <c r="C212" s="27" t="s">
        <v>501</v>
      </c>
      <c r="D212" s="29" t="s">
        <v>177</v>
      </c>
      <c r="E212" s="27" t="s">
        <v>865</v>
      </c>
      <c r="F212" s="27" t="s">
        <v>866</v>
      </c>
      <c r="G212" s="26"/>
      <c r="H212" s="89" t="s">
        <v>1048</v>
      </c>
    </row>
    <row r="213" spans="2:9" s="25" customFormat="1" ht="16.5" thickBot="1">
      <c r="B213" s="40">
        <f t="shared" si="4"/>
        <v>209</v>
      </c>
      <c r="C213" s="27" t="s">
        <v>501</v>
      </c>
      <c r="D213" s="29" t="s">
        <v>177</v>
      </c>
      <c r="E213" s="27" t="s">
        <v>865</v>
      </c>
      <c r="F213" s="27" t="s">
        <v>1728</v>
      </c>
      <c r="G213" s="26"/>
      <c r="H213" s="89" t="s">
        <v>4031</v>
      </c>
      <c r="I213" s="28" t="s">
        <v>1049</v>
      </c>
    </row>
    <row r="214" spans="2:9" s="25" customFormat="1" ht="16.5" thickBot="1">
      <c r="B214" s="40">
        <f t="shared" si="4"/>
        <v>210</v>
      </c>
      <c r="C214" s="27" t="s">
        <v>501</v>
      </c>
      <c r="D214" s="29" t="s">
        <v>177</v>
      </c>
      <c r="E214" s="27" t="s">
        <v>865</v>
      </c>
      <c r="F214" s="27" t="s">
        <v>1333</v>
      </c>
      <c r="G214" s="27" t="s">
        <v>1050</v>
      </c>
      <c r="H214" s="89" t="s">
        <v>1051</v>
      </c>
    </row>
    <row r="215" spans="2:9" s="25" customFormat="1" ht="16.5" thickBot="1">
      <c r="B215" s="40">
        <f t="shared" si="4"/>
        <v>211</v>
      </c>
      <c r="C215" s="27" t="s">
        <v>501</v>
      </c>
      <c r="D215" s="29" t="s">
        <v>177</v>
      </c>
      <c r="E215" s="27" t="s">
        <v>865</v>
      </c>
      <c r="F215" s="27" t="s">
        <v>1333</v>
      </c>
      <c r="G215" s="27" t="s">
        <v>1052</v>
      </c>
      <c r="H215" s="89" t="s">
        <v>1053</v>
      </c>
    </row>
    <row r="216" spans="2:9" s="25" customFormat="1" ht="16.5" thickBot="1">
      <c r="B216" s="40">
        <f t="shared" si="4"/>
        <v>212</v>
      </c>
      <c r="C216" s="27" t="s">
        <v>501</v>
      </c>
      <c r="D216" s="29" t="s">
        <v>177</v>
      </c>
      <c r="E216" s="27" t="s">
        <v>865</v>
      </c>
      <c r="F216" s="27" t="s">
        <v>1333</v>
      </c>
      <c r="G216" s="27" t="s">
        <v>1054</v>
      </c>
      <c r="H216" s="89" t="s">
        <v>1055</v>
      </c>
    </row>
    <row r="217" spans="2:9" s="25" customFormat="1" ht="16.5" thickBot="1">
      <c r="B217" s="40">
        <f t="shared" si="4"/>
        <v>213</v>
      </c>
      <c r="C217" s="27" t="s">
        <v>501</v>
      </c>
      <c r="D217" s="29" t="s">
        <v>177</v>
      </c>
      <c r="E217" s="27" t="s">
        <v>865</v>
      </c>
      <c r="F217" s="27" t="s">
        <v>1333</v>
      </c>
      <c r="G217" s="27" t="s">
        <v>1021</v>
      </c>
      <c r="H217" s="89" t="s">
        <v>1055</v>
      </c>
    </row>
    <row r="218" spans="2:9" s="25" customFormat="1" ht="16.5" thickBot="1">
      <c r="B218" s="40">
        <f t="shared" si="4"/>
        <v>214</v>
      </c>
      <c r="C218" s="27" t="s">
        <v>501</v>
      </c>
      <c r="D218" s="29" t="s">
        <v>177</v>
      </c>
      <c r="E218" s="27" t="s">
        <v>865</v>
      </c>
      <c r="F218" s="27" t="s">
        <v>1333</v>
      </c>
      <c r="G218" s="27" t="s">
        <v>1056</v>
      </c>
      <c r="H218" s="89" t="s">
        <v>1057</v>
      </c>
    </row>
    <row r="219" spans="2:9" s="25" customFormat="1" ht="16.5" thickBot="1">
      <c r="B219" s="40">
        <f t="shared" si="4"/>
        <v>215</v>
      </c>
      <c r="C219" s="27" t="s">
        <v>501</v>
      </c>
      <c r="D219" s="29" t="s">
        <v>177</v>
      </c>
      <c r="E219" s="27" t="s">
        <v>865</v>
      </c>
      <c r="F219" s="27" t="s">
        <v>1333</v>
      </c>
      <c r="G219" s="27" t="s">
        <v>1058</v>
      </c>
      <c r="H219" s="89" t="s">
        <v>1057</v>
      </c>
    </row>
    <row r="220" spans="2:9" ht="16.5" thickBot="1">
      <c r="B220" s="40">
        <f t="shared" si="4"/>
        <v>216</v>
      </c>
      <c r="C220" s="27" t="s">
        <v>501</v>
      </c>
      <c r="D220" s="29" t="s">
        <v>177</v>
      </c>
      <c r="E220" s="27" t="s">
        <v>880</v>
      </c>
      <c r="F220" s="27" t="s">
        <v>1777</v>
      </c>
      <c r="G220" s="27" t="s">
        <v>1059</v>
      </c>
      <c r="H220" s="89" t="s">
        <v>1060</v>
      </c>
    </row>
    <row r="221" spans="2:9" ht="16.5" thickBot="1">
      <c r="B221" s="40">
        <f t="shared" si="4"/>
        <v>217</v>
      </c>
      <c r="C221" s="27" t="s">
        <v>501</v>
      </c>
      <c r="D221" s="29" t="s">
        <v>177</v>
      </c>
      <c r="E221" s="27" t="s">
        <v>880</v>
      </c>
      <c r="F221" s="27" t="s">
        <v>1761</v>
      </c>
      <c r="G221" s="27" t="s">
        <v>1061</v>
      </c>
      <c r="H221" s="89" t="s">
        <v>1008</v>
      </c>
    </row>
    <row r="222" spans="2:9" ht="16.5" thickBot="1">
      <c r="B222" s="40">
        <f t="shared" si="4"/>
        <v>218</v>
      </c>
      <c r="C222" s="27" t="s">
        <v>501</v>
      </c>
      <c r="D222" s="29" t="s">
        <v>177</v>
      </c>
      <c r="E222" s="27" t="s">
        <v>880</v>
      </c>
      <c r="F222" s="27" t="s">
        <v>1769</v>
      </c>
      <c r="G222" s="27" t="s">
        <v>979</v>
      </c>
      <c r="H222" s="89" t="s">
        <v>979</v>
      </c>
    </row>
    <row r="223" spans="2:9" ht="16.5" thickBot="1">
      <c r="B223" s="40">
        <f t="shared" si="4"/>
        <v>219</v>
      </c>
      <c r="C223" s="27" t="s">
        <v>501</v>
      </c>
      <c r="D223" s="29" t="s">
        <v>177</v>
      </c>
      <c r="E223" s="27" t="s">
        <v>880</v>
      </c>
      <c r="F223" s="27" t="s">
        <v>1778</v>
      </c>
      <c r="G223" s="27" t="s">
        <v>1062</v>
      </c>
      <c r="H223" s="89" t="s">
        <v>1063</v>
      </c>
    </row>
    <row r="224" spans="2:9" ht="16.5" thickBot="1">
      <c r="B224" s="40">
        <f t="shared" si="4"/>
        <v>220</v>
      </c>
      <c r="C224" s="27" t="s">
        <v>501</v>
      </c>
      <c r="D224" s="29" t="s">
        <v>177</v>
      </c>
      <c r="E224" s="27" t="s">
        <v>880</v>
      </c>
      <c r="F224" s="27" t="s">
        <v>1770</v>
      </c>
      <c r="G224" s="27" t="s">
        <v>982</v>
      </c>
      <c r="H224" s="89" t="s">
        <v>983</v>
      </c>
    </row>
    <row r="225" spans="2:9" ht="16.5" thickBot="1">
      <c r="B225" s="40">
        <f t="shared" si="4"/>
        <v>221</v>
      </c>
      <c r="C225" s="27" t="s">
        <v>501</v>
      </c>
      <c r="D225" s="29" t="s">
        <v>177</v>
      </c>
      <c r="E225" s="27" t="s">
        <v>880</v>
      </c>
      <c r="F225" s="27" t="s">
        <v>1774</v>
      </c>
      <c r="G225" s="27" t="s">
        <v>1011</v>
      </c>
      <c r="H225" s="89" t="s">
        <v>1012</v>
      </c>
    </row>
    <row r="226" spans="2:9" ht="16.5" thickBot="1">
      <c r="B226" s="40">
        <f t="shared" si="4"/>
        <v>222</v>
      </c>
      <c r="C226" s="27" t="s">
        <v>501</v>
      </c>
      <c r="D226" s="29" t="s">
        <v>177</v>
      </c>
      <c r="E226" s="27" t="s">
        <v>880</v>
      </c>
      <c r="F226" s="27" t="s">
        <v>1763</v>
      </c>
      <c r="G226" s="27" t="s">
        <v>888</v>
      </c>
      <c r="H226" s="89" t="s">
        <v>889</v>
      </c>
    </row>
    <row r="227" spans="2:9" s="25" customFormat="1" ht="9" customHeight="1" thickBot="1">
      <c r="B227" s="23">
        <f t="shared" si="4"/>
        <v>223</v>
      </c>
      <c r="C227" s="24"/>
      <c r="D227" s="24"/>
      <c r="E227" s="24"/>
      <c r="F227" s="24"/>
      <c r="G227" s="24"/>
      <c r="H227" s="94"/>
    </row>
    <row r="228" spans="2:9" s="25" customFormat="1" ht="48" thickBot="1">
      <c r="B228" s="40">
        <f t="shared" si="4"/>
        <v>224</v>
      </c>
      <c r="C228" s="27" t="s">
        <v>501</v>
      </c>
      <c r="D228" s="29" t="s">
        <v>194</v>
      </c>
      <c r="E228" s="27" t="s">
        <v>865</v>
      </c>
      <c r="F228" s="27" t="s">
        <v>866</v>
      </c>
      <c r="G228" s="26"/>
      <c r="H228" s="89" t="s">
        <v>1064</v>
      </c>
    </row>
    <row r="229" spans="2:9" s="25" customFormat="1" ht="16.5" thickBot="1">
      <c r="B229" s="40">
        <f t="shared" si="4"/>
        <v>225</v>
      </c>
      <c r="C229" s="27" t="s">
        <v>501</v>
      </c>
      <c r="D229" s="29" t="s">
        <v>194</v>
      </c>
      <c r="E229" s="27" t="s">
        <v>865</v>
      </c>
      <c r="F229" s="27" t="s">
        <v>1728</v>
      </c>
      <c r="G229" s="26"/>
      <c r="H229" s="89" t="s">
        <v>4032</v>
      </c>
      <c r="I229" s="28" t="s">
        <v>1065</v>
      </c>
    </row>
    <row r="230" spans="2:9" s="25" customFormat="1" ht="16.5" thickBot="1">
      <c r="B230" s="40">
        <f t="shared" si="4"/>
        <v>226</v>
      </c>
      <c r="C230" s="27" t="s">
        <v>501</v>
      </c>
      <c r="D230" s="29" t="s">
        <v>194</v>
      </c>
      <c r="E230" s="27" t="s">
        <v>865</v>
      </c>
      <c r="F230" s="27" t="s">
        <v>1333</v>
      </c>
      <c r="G230" s="27" t="s">
        <v>921</v>
      </c>
      <c r="H230" s="89" t="s">
        <v>1066</v>
      </c>
    </row>
    <row r="231" spans="2:9" s="25" customFormat="1" ht="16.5" thickBot="1">
      <c r="B231" s="40">
        <f t="shared" si="4"/>
        <v>227</v>
      </c>
      <c r="C231" s="27" t="s">
        <v>501</v>
      </c>
      <c r="D231" s="29" t="s">
        <v>194</v>
      </c>
      <c r="E231" s="27" t="s">
        <v>865</v>
      </c>
      <c r="F231" s="27" t="s">
        <v>1333</v>
      </c>
      <c r="G231" s="27" t="s">
        <v>923</v>
      </c>
      <c r="H231" s="89" t="s">
        <v>1067</v>
      </c>
    </row>
    <row r="232" spans="2:9" s="25" customFormat="1" ht="16.5" thickBot="1">
      <c r="B232" s="40">
        <f t="shared" si="4"/>
        <v>228</v>
      </c>
      <c r="C232" s="27" t="s">
        <v>501</v>
      </c>
      <c r="D232" s="29" t="s">
        <v>194</v>
      </c>
      <c r="E232" s="27" t="s">
        <v>865</v>
      </c>
      <c r="F232" s="27" t="s">
        <v>1333</v>
      </c>
      <c r="G232" s="27" t="s">
        <v>989</v>
      </c>
      <c r="H232" s="89" t="s">
        <v>1066</v>
      </c>
    </row>
    <row r="233" spans="2:9" s="25" customFormat="1" ht="16.5" thickBot="1">
      <c r="B233" s="40">
        <f t="shared" si="4"/>
        <v>229</v>
      </c>
      <c r="C233" s="27" t="s">
        <v>501</v>
      </c>
      <c r="D233" s="29" t="s">
        <v>194</v>
      </c>
      <c r="E233" s="27" t="s">
        <v>865</v>
      </c>
      <c r="F233" s="27" t="s">
        <v>1333</v>
      </c>
      <c r="G233" s="27" t="s">
        <v>992</v>
      </c>
      <c r="H233" s="89" t="s">
        <v>1066</v>
      </c>
    </row>
    <row r="234" spans="2:9" ht="16.5" thickBot="1">
      <c r="B234" s="40">
        <f t="shared" si="4"/>
        <v>230</v>
      </c>
      <c r="C234" s="27" t="s">
        <v>501</v>
      </c>
      <c r="D234" s="29" t="s">
        <v>194</v>
      </c>
      <c r="E234" s="27" t="s">
        <v>880</v>
      </c>
      <c r="F234" s="27" t="s">
        <v>1769</v>
      </c>
      <c r="G234" s="27" t="s">
        <v>1068</v>
      </c>
      <c r="H234" s="89" t="s">
        <v>979</v>
      </c>
    </row>
    <row r="235" spans="2:9" ht="16.5" thickBot="1">
      <c r="B235" s="40">
        <f t="shared" si="4"/>
        <v>231</v>
      </c>
      <c r="C235" s="27" t="s">
        <v>501</v>
      </c>
      <c r="D235" s="71" t="s">
        <v>194</v>
      </c>
      <c r="E235" s="27" t="s">
        <v>880</v>
      </c>
      <c r="F235" s="27" t="s">
        <v>1779</v>
      </c>
      <c r="G235" s="27" t="s">
        <v>1069</v>
      </c>
      <c r="H235" s="104" t="s">
        <v>1070</v>
      </c>
    </row>
    <row r="236" spans="2:9" ht="16.5" thickBot="1">
      <c r="B236" s="40">
        <f t="shared" si="4"/>
        <v>232</v>
      </c>
      <c r="C236" s="27" t="s">
        <v>501</v>
      </c>
      <c r="D236" s="29" t="s">
        <v>194</v>
      </c>
      <c r="E236" s="27" t="s">
        <v>880</v>
      </c>
      <c r="F236" s="27" t="s">
        <v>1763</v>
      </c>
      <c r="G236" s="27" t="s">
        <v>888</v>
      </c>
      <c r="H236" s="89" t="s">
        <v>889</v>
      </c>
    </row>
    <row r="237" spans="2:9" ht="32.25" thickBot="1">
      <c r="B237" s="40">
        <f t="shared" si="4"/>
        <v>233</v>
      </c>
      <c r="C237" s="27" t="s">
        <v>501</v>
      </c>
      <c r="D237" s="82" t="s">
        <v>194</v>
      </c>
      <c r="E237" s="27" t="s">
        <v>880</v>
      </c>
      <c r="F237" s="27" t="s">
        <v>1780</v>
      </c>
      <c r="G237" s="27" t="s">
        <v>3678</v>
      </c>
      <c r="H237" s="104" t="s">
        <v>4033</v>
      </c>
    </row>
    <row r="238" spans="2:9" ht="16.5" thickBot="1">
      <c r="B238" s="40">
        <f t="shared" si="4"/>
        <v>234</v>
      </c>
      <c r="C238" s="27" t="s">
        <v>501</v>
      </c>
      <c r="D238" s="27" t="s">
        <v>194</v>
      </c>
      <c r="E238" s="27" t="s">
        <v>880</v>
      </c>
      <c r="F238" s="27" t="s">
        <v>1729</v>
      </c>
      <c r="G238" s="27" t="s">
        <v>1071</v>
      </c>
      <c r="H238" s="104" t="s">
        <v>1072</v>
      </c>
    </row>
    <row r="239" spans="2:9" ht="16.5" thickBot="1">
      <c r="B239" s="40">
        <f t="shared" si="4"/>
        <v>235</v>
      </c>
      <c r="C239" s="27" t="s">
        <v>501</v>
      </c>
      <c r="D239" s="29" t="s">
        <v>194</v>
      </c>
      <c r="E239" s="27" t="s">
        <v>880</v>
      </c>
      <c r="F239" s="27" t="s">
        <v>738</v>
      </c>
      <c r="G239" s="27" t="s">
        <v>1013</v>
      </c>
      <c r="H239" s="89" t="s">
        <v>1073</v>
      </c>
    </row>
    <row r="240" spans="2:9" s="25" customFormat="1" ht="9" customHeight="1" thickBot="1">
      <c r="B240" s="40">
        <f t="shared" si="4"/>
        <v>236</v>
      </c>
      <c r="C240" s="43"/>
      <c r="D240" s="43"/>
      <c r="E240" s="43"/>
      <c r="F240" s="43"/>
      <c r="G240" s="43"/>
      <c r="H240" s="44"/>
    </row>
    <row r="241" spans="3:13">
      <c r="C241" s="114" t="s">
        <v>1399</v>
      </c>
      <c r="D241" s="114"/>
      <c r="F241" s="115" t="s">
        <v>880</v>
      </c>
      <c r="G241" s="115"/>
      <c r="H241" s="115"/>
      <c r="I241" s="115"/>
      <c r="J241" s="115"/>
    </row>
    <row r="242" spans="3:13" ht="15.75">
      <c r="C242" s="48"/>
      <c r="D242" s="48"/>
      <c r="E242" s="25"/>
      <c r="F242" s="10"/>
      <c r="G242" s="10"/>
      <c r="H242" s="10"/>
      <c r="I242" s="10"/>
      <c r="J242" s="10"/>
      <c r="K242" s="10"/>
      <c r="L242" s="10"/>
      <c r="M242" s="10"/>
    </row>
    <row r="243" spans="3:13" ht="15.75">
      <c r="C243" t="s">
        <v>195</v>
      </c>
      <c r="D243" t="s">
        <v>1312</v>
      </c>
      <c r="E243" s="25"/>
      <c r="F243" t="s">
        <v>1400</v>
      </c>
      <c r="G243" t="s">
        <v>195</v>
      </c>
      <c r="H243" t="s">
        <v>501</v>
      </c>
      <c r="I243" t="s">
        <v>4013</v>
      </c>
      <c r="J243" t="s">
        <v>1729</v>
      </c>
      <c r="K243" s="10"/>
      <c r="M243" t="s">
        <v>2064</v>
      </c>
    </row>
    <row r="244" spans="3:13" ht="15.75">
      <c r="C244" t="s">
        <v>195</v>
      </c>
      <c r="D244" t="s">
        <v>1781</v>
      </c>
      <c r="E244" s="25"/>
      <c r="F244" t="s">
        <v>883</v>
      </c>
      <c r="G244" t="s">
        <v>195</v>
      </c>
      <c r="H244" t="s">
        <v>501</v>
      </c>
      <c r="I244" t="s">
        <v>502</v>
      </c>
      <c r="J244" t="s">
        <v>488</v>
      </c>
      <c r="K244" s="10"/>
      <c r="M244" t="s">
        <v>2064</v>
      </c>
    </row>
    <row r="245" spans="3:13" ht="15.75">
      <c r="C245" t="s">
        <v>195</v>
      </c>
      <c r="D245" t="s">
        <v>1305</v>
      </c>
      <c r="E245" s="25"/>
      <c r="F245" t="s">
        <v>884</v>
      </c>
      <c r="G245" t="s">
        <v>195</v>
      </c>
      <c r="H245" t="s">
        <v>501</v>
      </c>
      <c r="I245" t="s">
        <v>491</v>
      </c>
      <c r="J245" t="s">
        <v>1761</v>
      </c>
      <c r="K245" s="10"/>
      <c r="M245" t="s">
        <v>2064</v>
      </c>
    </row>
    <row r="246" spans="3:13" ht="15.75">
      <c r="C246" t="s">
        <v>195</v>
      </c>
      <c r="D246" t="s">
        <v>1306</v>
      </c>
      <c r="E246" s="25"/>
      <c r="F246" t="s">
        <v>885</v>
      </c>
      <c r="G246" t="s">
        <v>195</v>
      </c>
      <c r="H246" t="s">
        <v>501</v>
      </c>
      <c r="I246" t="s">
        <v>494</v>
      </c>
      <c r="J246" t="s">
        <v>738</v>
      </c>
      <c r="K246" s="10"/>
      <c r="M246" t="s">
        <v>2064</v>
      </c>
    </row>
    <row r="247" spans="3:13" ht="15.75">
      <c r="C247" t="s">
        <v>195</v>
      </c>
      <c r="D247" t="s">
        <v>1307</v>
      </c>
      <c r="E247" s="25"/>
      <c r="F247" t="s">
        <v>887</v>
      </c>
      <c r="G247" t="s">
        <v>195</v>
      </c>
      <c r="H247" t="s">
        <v>501</v>
      </c>
      <c r="I247" t="s">
        <v>886</v>
      </c>
      <c r="J247" t="s">
        <v>1762</v>
      </c>
      <c r="K247" s="10"/>
      <c r="M247" t="s">
        <v>2064</v>
      </c>
    </row>
    <row r="248" spans="3:13" ht="15.75">
      <c r="C248" t="s">
        <v>195</v>
      </c>
      <c r="D248" t="s">
        <v>1334</v>
      </c>
      <c r="E248" s="25"/>
      <c r="F248" t="s">
        <v>888</v>
      </c>
      <c r="G248" t="s">
        <v>195</v>
      </c>
      <c r="H248" t="s">
        <v>501</v>
      </c>
      <c r="I248" t="s">
        <v>889</v>
      </c>
      <c r="J248" t="s">
        <v>1763</v>
      </c>
      <c r="K248" s="10"/>
      <c r="M248" t="s">
        <v>2064</v>
      </c>
    </row>
    <row r="249" spans="3:13" ht="15.75">
      <c r="C249" t="s">
        <v>195</v>
      </c>
      <c r="D249" t="s">
        <v>1313</v>
      </c>
      <c r="E249" s="25"/>
      <c r="F249" t="s">
        <v>890</v>
      </c>
      <c r="G249" t="s">
        <v>195</v>
      </c>
      <c r="H249" t="s">
        <v>501</v>
      </c>
      <c r="I249" t="s">
        <v>891</v>
      </c>
      <c r="J249" t="s">
        <v>1764</v>
      </c>
      <c r="K249" s="10"/>
      <c r="M249" t="s">
        <v>2064</v>
      </c>
    </row>
    <row r="250" spans="3:13" ht="15.75">
      <c r="C250" t="s">
        <v>320</v>
      </c>
      <c r="D250" t="s">
        <v>1314</v>
      </c>
      <c r="E250" s="25"/>
      <c r="F250" t="s">
        <v>892</v>
      </c>
      <c r="G250" t="s">
        <v>195</v>
      </c>
      <c r="H250" t="s">
        <v>501</v>
      </c>
      <c r="I250" t="s">
        <v>893</v>
      </c>
      <c r="J250" t="s">
        <v>1765</v>
      </c>
      <c r="K250" s="10"/>
      <c r="M250" t="s">
        <v>2064</v>
      </c>
    </row>
    <row r="251" spans="3:13" ht="15.75">
      <c r="C251" t="s">
        <v>320</v>
      </c>
      <c r="D251" t="s">
        <v>4034</v>
      </c>
      <c r="E251" s="25"/>
      <c r="F251" t="s">
        <v>886</v>
      </c>
      <c r="G251" t="s">
        <v>320</v>
      </c>
      <c r="H251" t="s">
        <v>501</v>
      </c>
      <c r="I251" t="s">
        <v>886</v>
      </c>
      <c r="J251" t="s">
        <v>1762</v>
      </c>
      <c r="K251" s="10"/>
      <c r="M251" t="s">
        <v>2064</v>
      </c>
    </row>
    <row r="252" spans="3:13" ht="15.75">
      <c r="C252" t="s">
        <v>320</v>
      </c>
      <c r="D252" t="s">
        <v>1335</v>
      </c>
      <c r="E252" s="25"/>
      <c r="F252" t="s">
        <v>892</v>
      </c>
      <c r="G252" t="s">
        <v>320</v>
      </c>
      <c r="H252" t="s">
        <v>501</v>
      </c>
      <c r="I252" t="s">
        <v>893</v>
      </c>
      <c r="J252" t="s">
        <v>1765</v>
      </c>
      <c r="K252" s="10"/>
      <c r="M252" t="s">
        <v>2064</v>
      </c>
    </row>
    <row r="253" spans="3:13" ht="15.75">
      <c r="C253" t="s">
        <v>320</v>
      </c>
      <c r="D253" t="s">
        <v>1336</v>
      </c>
      <c r="E253" s="25"/>
      <c r="F253" t="s">
        <v>338</v>
      </c>
      <c r="G253" t="s">
        <v>320</v>
      </c>
      <c r="H253" t="s">
        <v>501</v>
      </c>
      <c r="I253" t="s">
        <v>898</v>
      </c>
      <c r="J253" t="s">
        <v>1729</v>
      </c>
      <c r="K253" s="10"/>
      <c r="M253" t="s">
        <v>2064</v>
      </c>
    </row>
    <row r="254" spans="3:13" ht="15.75">
      <c r="C254" t="s">
        <v>319</v>
      </c>
      <c r="D254" t="s">
        <v>1315</v>
      </c>
      <c r="E254" s="25"/>
      <c r="F254" t="s">
        <v>899</v>
      </c>
      <c r="G254" t="s">
        <v>320</v>
      </c>
      <c r="H254" t="s">
        <v>501</v>
      </c>
      <c r="I254" t="s">
        <v>900</v>
      </c>
      <c r="J254" t="s">
        <v>1766</v>
      </c>
      <c r="K254" s="10"/>
      <c r="M254" t="s">
        <v>2064</v>
      </c>
    </row>
    <row r="255" spans="3:13" ht="15.75">
      <c r="C255" t="s">
        <v>319</v>
      </c>
      <c r="D255" t="s">
        <v>1782</v>
      </c>
      <c r="E255" s="25"/>
      <c r="F255" t="s">
        <v>888</v>
      </c>
      <c r="G255" t="s">
        <v>320</v>
      </c>
      <c r="H255" t="s">
        <v>501</v>
      </c>
      <c r="I255" t="s">
        <v>889</v>
      </c>
      <c r="J255" t="s">
        <v>1763</v>
      </c>
      <c r="K255" s="10"/>
      <c r="M255" t="s">
        <v>2064</v>
      </c>
    </row>
    <row r="256" spans="3:13" ht="15.75">
      <c r="C256" t="s">
        <v>319</v>
      </c>
      <c r="D256" t="s">
        <v>1311</v>
      </c>
      <c r="E256" s="25"/>
      <c r="F256" t="s">
        <v>886</v>
      </c>
      <c r="G256" t="s">
        <v>319</v>
      </c>
      <c r="H256" t="s">
        <v>501</v>
      </c>
      <c r="I256" t="s">
        <v>886</v>
      </c>
      <c r="J256" t="s">
        <v>1762</v>
      </c>
      <c r="K256" s="10"/>
      <c r="M256" t="s">
        <v>2064</v>
      </c>
    </row>
    <row r="257" spans="3:13" ht="15.75">
      <c r="C257" t="s">
        <v>319</v>
      </c>
      <c r="D257" t="s">
        <v>3776</v>
      </c>
      <c r="E257" s="25"/>
      <c r="F257" t="s">
        <v>892</v>
      </c>
      <c r="G257" t="s">
        <v>319</v>
      </c>
      <c r="H257" t="s">
        <v>501</v>
      </c>
      <c r="I257" t="s">
        <v>893</v>
      </c>
      <c r="J257" t="s">
        <v>1765</v>
      </c>
      <c r="K257" s="10"/>
      <c r="M257" t="s">
        <v>2064</v>
      </c>
    </row>
    <row r="258" spans="3:13" ht="15.75">
      <c r="C258" t="s">
        <v>318</v>
      </c>
      <c r="D258" t="s">
        <v>4035</v>
      </c>
      <c r="E258" s="25"/>
      <c r="F258" t="s">
        <v>905</v>
      </c>
      <c r="G258" t="s">
        <v>319</v>
      </c>
      <c r="H258" t="s">
        <v>501</v>
      </c>
      <c r="I258" t="s">
        <v>906</v>
      </c>
      <c r="J258" t="s">
        <v>1729</v>
      </c>
      <c r="K258" s="10"/>
      <c r="M258" t="s">
        <v>2064</v>
      </c>
    </row>
    <row r="259" spans="3:13" ht="15.75">
      <c r="C259" t="s">
        <v>318</v>
      </c>
      <c r="D259" t="s">
        <v>1783</v>
      </c>
      <c r="E259" s="25"/>
      <c r="F259" t="s">
        <v>888</v>
      </c>
      <c r="G259" t="s">
        <v>319</v>
      </c>
      <c r="H259" t="s">
        <v>501</v>
      </c>
      <c r="I259" t="s">
        <v>889</v>
      </c>
      <c r="J259" t="s">
        <v>1763</v>
      </c>
      <c r="K259" s="10"/>
      <c r="M259" t="s">
        <v>2064</v>
      </c>
    </row>
    <row r="260" spans="3:13" ht="15.75">
      <c r="C260" t="s">
        <v>318</v>
      </c>
      <c r="D260" t="s">
        <v>1337</v>
      </c>
      <c r="E260" s="25"/>
      <c r="F260" t="s">
        <v>886</v>
      </c>
      <c r="G260" t="s">
        <v>318</v>
      </c>
      <c r="H260" t="s">
        <v>501</v>
      </c>
      <c r="I260" t="s">
        <v>886</v>
      </c>
      <c r="J260" t="s">
        <v>1762</v>
      </c>
      <c r="K260" s="10"/>
      <c r="M260" t="s">
        <v>2064</v>
      </c>
    </row>
    <row r="261" spans="3:13" ht="15.75">
      <c r="C261" t="s">
        <v>318</v>
      </c>
      <c r="D261" t="s">
        <v>1338</v>
      </c>
      <c r="E261" s="25"/>
      <c r="F261" t="s">
        <v>892</v>
      </c>
      <c r="G261" t="s">
        <v>318</v>
      </c>
      <c r="H261" t="s">
        <v>501</v>
      </c>
      <c r="I261" t="s">
        <v>893</v>
      </c>
      <c r="J261" t="s">
        <v>1765</v>
      </c>
      <c r="K261" s="10"/>
      <c r="M261" t="s">
        <v>2064</v>
      </c>
    </row>
    <row r="262" spans="3:13" ht="15.75">
      <c r="C262" t="s">
        <v>318</v>
      </c>
      <c r="D262" t="s">
        <v>1316</v>
      </c>
      <c r="E262" s="25"/>
      <c r="F262" t="s">
        <v>905</v>
      </c>
      <c r="G262" t="s">
        <v>318</v>
      </c>
      <c r="H262" t="s">
        <v>501</v>
      </c>
      <c r="I262" t="s">
        <v>912</v>
      </c>
      <c r="J262" t="s">
        <v>1729</v>
      </c>
      <c r="K262" s="10"/>
      <c r="M262" t="s">
        <v>2064</v>
      </c>
    </row>
    <row r="263" spans="3:13" ht="15.75">
      <c r="C263" t="s">
        <v>318</v>
      </c>
      <c r="D263" t="s">
        <v>4036</v>
      </c>
      <c r="E263" s="25"/>
      <c r="F263" t="s">
        <v>888</v>
      </c>
      <c r="G263" t="s">
        <v>318</v>
      </c>
      <c r="H263" t="s">
        <v>501</v>
      </c>
      <c r="I263" t="s">
        <v>889</v>
      </c>
      <c r="J263" t="s">
        <v>1763</v>
      </c>
      <c r="K263" s="10"/>
      <c r="M263" t="s">
        <v>2064</v>
      </c>
    </row>
    <row r="264" spans="3:13" ht="15.75">
      <c r="C264" t="s">
        <v>318</v>
      </c>
      <c r="D264" t="s">
        <v>4037</v>
      </c>
      <c r="E264" s="25"/>
      <c r="F264" t="s">
        <v>886</v>
      </c>
      <c r="G264" t="s">
        <v>317</v>
      </c>
      <c r="H264" t="s">
        <v>501</v>
      </c>
      <c r="I264" t="s">
        <v>886</v>
      </c>
      <c r="J264" t="s">
        <v>1762</v>
      </c>
      <c r="K264" s="10"/>
    </row>
    <row r="265" spans="3:13" ht="15.75">
      <c r="C265" t="s">
        <v>317</v>
      </c>
      <c r="D265" t="s">
        <v>1317</v>
      </c>
      <c r="E265" s="25"/>
      <c r="F265" t="s">
        <v>892</v>
      </c>
      <c r="G265" t="s">
        <v>317</v>
      </c>
      <c r="H265" t="s">
        <v>501</v>
      </c>
      <c r="I265" t="s">
        <v>893</v>
      </c>
      <c r="J265" t="s">
        <v>1765</v>
      </c>
      <c r="K265" s="10"/>
    </row>
    <row r="266" spans="3:13" ht="15.75">
      <c r="C266" t="s">
        <v>317</v>
      </c>
      <c r="D266" t="s">
        <v>1784</v>
      </c>
      <c r="E266" s="25"/>
      <c r="F266" t="s">
        <v>888</v>
      </c>
      <c r="G266" t="s">
        <v>317</v>
      </c>
      <c r="H266" t="s">
        <v>501</v>
      </c>
      <c r="I266" t="s">
        <v>889</v>
      </c>
      <c r="J266" t="s">
        <v>1763</v>
      </c>
      <c r="K266" s="10"/>
    </row>
    <row r="267" spans="3:13" ht="15.75">
      <c r="C267" t="s">
        <v>317</v>
      </c>
      <c r="D267" t="s">
        <v>1339</v>
      </c>
      <c r="E267" s="25"/>
      <c r="F267" t="s">
        <v>892</v>
      </c>
      <c r="G267" t="s">
        <v>316</v>
      </c>
      <c r="H267" t="s">
        <v>501</v>
      </c>
      <c r="I267" t="s">
        <v>893</v>
      </c>
      <c r="J267" t="s">
        <v>1765</v>
      </c>
      <c r="K267" s="10"/>
    </row>
    <row r="268" spans="3:13" ht="15.75">
      <c r="C268" t="s">
        <v>317</v>
      </c>
      <c r="D268" t="s">
        <v>1340</v>
      </c>
      <c r="E268" s="25"/>
      <c r="F268" t="s">
        <v>888</v>
      </c>
      <c r="G268" t="s">
        <v>316</v>
      </c>
      <c r="H268" t="s">
        <v>501</v>
      </c>
      <c r="I268" t="s">
        <v>889</v>
      </c>
      <c r="J268" t="s">
        <v>1763</v>
      </c>
      <c r="K268" s="10"/>
    </row>
    <row r="269" spans="3:13" ht="15.75">
      <c r="C269" t="s">
        <v>317</v>
      </c>
      <c r="D269" t="s">
        <v>1341</v>
      </c>
      <c r="E269" s="25"/>
      <c r="F269" t="s">
        <v>886</v>
      </c>
      <c r="G269" t="s">
        <v>315</v>
      </c>
      <c r="H269" t="s">
        <v>501</v>
      </c>
      <c r="I269" t="s">
        <v>886</v>
      </c>
      <c r="J269" t="s">
        <v>1762</v>
      </c>
      <c r="K269" s="10"/>
    </row>
    <row r="270" spans="3:13" ht="15.75">
      <c r="C270" t="s">
        <v>317</v>
      </c>
      <c r="D270" t="s">
        <v>1342</v>
      </c>
      <c r="E270" s="25"/>
      <c r="F270" t="s">
        <v>888</v>
      </c>
      <c r="G270" t="s">
        <v>315</v>
      </c>
      <c r="H270" t="s">
        <v>501</v>
      </c>
      <c r="I270" t="s">
        <v>889</v>
      </c>
      <c r="J270" t="s">
        <v>1763</v>
      </c>
      <c r="K270" s="10"/>
    </row>
    <row r="271" spans="3:13" ht="15.75">
      <c r="C271" t="s">
        <v>316</v>
      </c>
      <c r="D271" t="s">
        <v>1318</v>
      </c>
      <c r="E271" s="25"/>
      <c r="F271" t="s">
        <v>886</v>
      </c>
      <c r="G271" t="s">
        <v>314</v>
      </c>
      <c r="H271" t="s">
        <v>501</v>
      </c>
      <c r="I271" t="s">
        <v>886</v>
      </c>
      <c r="J271" t="s">
        <v>1762</v>
      </c>
      <c r="K271" s="10"/>
    </row>
    <row r="272" spans="3:13" ht="15.75">
      <c r="C272" t="s">
        <v>316</v>
      </c>
      <c r="D272" t="s">
        <v>1785</v>
      </c>
      <c r="E272" s="25"/>
      <c r="F272" t="s">
        <v>892</v>
      </c>
      <c r="G272" t="s">
        <v>314</v>
      </c>
      <c r="H272" t="s">
        <v>501</v>
      </c>
      <c r="I272" t="s">
        <v>893</v>
      </c>
      <c r="J272" t="s">
        <v>1765</v>
      </c>
      <c r="K272" s="10"/>
    </row>
    <row r="273" spans="3:11" ht="15.75">
      <c r="C273" t="s">
        <v>316</v>
      </c>
      <c r="D273" t="s">
        <v>1343</v>
      </c>
      <c r="E273" s="25"/>
      <c r="F273" t="s">
        <v>946</v>
      </c>
      <c r="G273" t="s">
        <v>314</v>
      </c>
      <c r="H273" t="s">
        <v>501</v>
      </c>
      <c r="I273" t="s">
        <v>898</v>
      </c>
      <c r="J273" t="s">
        <v>1729</v>
      </c>
      <c r="K273" s="10"/>
    </row>
    <row r="274" spans="3:11" ht="15.75">
      <c r="C274" t="s">
        <v>316</v>
      </c>
      <c r="D274" t="s">
        <v>1344</v>
      </c>
      <c r="E274" s="25"/>
      <c r="F274" t="s">
        <v>888</v>
      </c>
      <c r="G274" t="s">
        <v>314</v>
      </c>
      <c r="H274" t="s">
        <v>501</v>
      </c>
      <c r="I274" t="s">
        <v>889</v>
      </c>
      <c r="J274" t="s">
        <v>1763</v>
      </c>
      <c r="K274" s="10"/>
    </row>
    <row r="275" spans="3:11" ht="15.75">
      <c r="C275" t="s">
        <v>316</v>
      </c>
      <c r="D275" t="s">
        <v>1319</v>
      </c>
      <c r="E275" s="25"/>
      <c r="F275" t="s">
        <v>886</v>
      </c>
      <c r="G275" t="s">
        <v>313</v>
      </c>
      <c r="H275" t="s">
        <v>501</v>
      </c>
      <c r="I275" t="s">
        <v>886</v>
      </c>
      <c r="J275" t="s">
        <v>1762</v>
      </c>
      <c r="K275" s="10"/>
    </row>
    <row r="276" spans="3:11" ht="15.75">
      <c r="C276" t="s">
        <v>315</v>
      </c>
      <c r="D276" t="s">
        <v>1320</v>
      </c>
      <c r="E276" s="25"/>
      <c r="F276" t="s">
        <v>888</v>
      </c>
      <c r="G276" t="s">
        <v>313</v>
      </c>
      <c r="H276" t="s">
        <v>501</v>
      </c>
      <c r="I276" t="s">
        <v>889</v>
      </c>
      <c r="J276" t="s">
        <v>1763</v>
      </c>
      <c r="K276" s="10"/>
    </row>
    <row r="277" spans="3:11" ht="15.75">
      <c r="C277" t="s">
        <v>315</v>
      </c>
      <c r="D277" t="s">
        <v>1786</v>
      </c>
      <c r="E277" s="25"/>
      <c r="F277" t="s">
        <v>888</v>
      </c>
      <c r="G277" t="s">
        <v>312</v>
      </c>
      <c r="H277" t="s">
        <v>501</v>
      </c>
      <c r="I277" t="s">
        <v>889</v>
      </c>
      <c r="J277" t="s">
        <v>1763</v>
      </c>
      <c r="K277" s="10"/>
    </row>
    <row r="278" spans="3:11" ht="15.75">
      <c r="C278" t="s">
        <v>315</v>
      </c>
      <c r="D278" t="s">
        <v>1345</v>
      </c>
      <c r="E278" s="25"/>
      <c r="F278" t="s">
        <v>888</v>
      </c>
      <c r="G278" t="s">
        <v>311</v>
      </c>
      <c r="H278" t="s">
        <v>501</v>
      </c>
      <c r="I278" t="s">
        <v>889</v>
      </c>
      <c r="J278" t="s">
        <v>1763</v>
      </c>
      <c r="K278" s="10"/>
    </row>
    <row r="279" spans="3:11" ht="15.75">
      <c r="C279" t="s">
        <v>315</v>
      </c>
      <c r="D279" t="s">
        <v>1346</v>
      </c>
      <c r="E279" s="25"/>
      <c r="F279" t="s">
        <v>892</v>
      </c>
      <c r="G279" t="s">
        <v>311</v>
      </c>
      <c r="H279" t="s">
        <v>501</v>
      </c>
      <c r="I279" t="s">
        <v>893</v>
      </c>
      <c r="J279" t="s">
        <v>1765</v>
      </c>
      <c r="K279" s="10"/>
    </row>
    <row r="280" spans="3:11" ht="15.75">
      <c r="C280" t="s">
        <v>315</v>
      </c>
      <c r="D280" t="s">
        <v>1347</v>
      </c>
      <c r="E280" s="25"/>
      <c r="F280" t="s">
        <v>975</v>
      </c>
      <c r="G280" t="s">
        <v>176</v>
      </c>
      <c r="H280" t="s">
        <v>501</v>
      </c>
      <c r="I280" t="s">
        <v>976</v>
      </c>
      <c r="J280" t="s">
        <v>1768</v>
      </c>
      <c r="K280" s="10"/>
    </row>
    <row r="281" spans="3:11" ht="15.75">
      <c r="C281" t="s">
        <v>315</v>
      </c>
      <c r="D281" t="s">
        <v>1348</v>
      </c>
      <c r="E281" s="25"/>
      <c r="F281" t="s">
        <v>977</v>
      </c>
      <c r="G281" t="s">
        <v>176</v>
      </c>
      <c r="H281" t="s">
        <v>501</v>
      </c>
      <c r="I281" t="s">
        <v>978</v>
      </c>
      <c r="J281" t="s">
        <v>740</v>
      </c>
      <c r="K281" s="10"/>
    </row>
    <row r="282" spans="3:11" ht="15.75">
      <c r="C282" t="s">
        <v>315</v>
      </c>
      <c r="D282" t="s">
        <v>4038</v>
      </c>
      <c r="E282" s="25"/>
      <c r="F282" t="s">
        <v>979</v>
      </c>
      <c r="G282" t="s">
        <v>176</v>
      </c>
      <c r="H282" t="s">
        <v>501</v>
      </c>
      <c r="I282" t="s">
        <v>979</v>
      </c>
      <c r="J282" t="s">
        <v>1769</v>
      </c>
      <c r="K282" s="10"/>
    </row>
    <row r="283" spans="3:11" ht="15.75">
      <c r="C283" t="s">
        <v>314</v>
      </c>
      <c r="D283" t="s">
        <v>1321</v>
      </c>
      <c r="E283" s="25"/>
      <c r="F283" t="s">
        <v>980</v>
      </c>
      <c r="G283" t="s">
        <v>176</v>
      </c>
      <c r="H283" t="s">
        <v>501</v>
      </c>
      <c r="I283" t="s">
        <v>981</v>
      </c>
      <c r="J283" t="s">
        <v>740</v>
      </c>
      <c r="K283" s="10"/>
    </row>
    <row r="284" spans="3:11" ht="15.75">
      <c r="C284" t="s">
        <v>314</v>
      </c>
      <c r="D284" t="s">
        <v>1787</v>
      </c>
      <c r="E284" s="25"/>
      <c r="F284" t="s">
        <v>982</v>
      </c>
      <c r="G284" t="s">
        <v>176</v>
      </c>
      <c r="H284" t="s">
        <v>501</v>
      </c>
      <c r="I284" t="s">
        <v>983</v>
      </c>
      <c r="J284" t="s">
        <v>1770</v>
      </c>
      <c r="K284" s="10"/>
    </row>
    <row r="285" spans="3:11" ht="15.75">
      <c r="C285" t="s">
        <v>314</v>
      </c>
      <c r="D285" t="s">
        <v>1349</v>
      </c>
      <c r="E285" s="25"/>
      <c r="F285" t="s">
        <v>979</v>
      </c>
      <c r="G285" t="s">
        <v>310</v>
      </c>
      <c r="H285" t="s">
        <v>501</v>
      </c>
      <c r="I285" t="s">
        <v>979</v>
      </c>
      <c r="J285" t="s">
        <v>1769</v>
      </c>
      <c r="K285" s="10"/>
    </row>
    <row r="286" spans="3:11" ht="15.75">
      <c r="C286" t="s">
        <v>314</v>
      </c>
      <c r="D286" t="s">
        <v>1350</v>
      </c>
      <c r="E286" s="25"/>
      <c r="F286" t="s">
        <v>987</v>
      </c>
      <c r="G286" t="s">
        <v>310</v>
      </c>
      <c r="H286" t="s">
        <v>501</v>
      </c>
      <c r="I286" t="s">
        <v>987</v>
      </c>
      <c r="J286" t="s">
        <v>1771</v>
      </c>
      <c r="K286" s="10"/>
    </row>
    <row r="287" spans="3:11" ht="15.75">
      <c r="C287" t="s">
        <v>314</v>
      </c>
      <c r="D287" t="s">
        <v>1351</v>
      </c>
      <c r="E287" s="25"/>
      <c r="F287" t="s">
        <v>888</v>
      </c>
      <c r="G287" t="s">
        <v>310</v>
      </c>
      <c r="H287" t="s">
        <v>501</v>
      </c>
      <c r="I287" t="s">
        <v>889</v>
      </c>
      <c r="J287" t="s">
        <v>1763</v>
      </c>
      <c r="K287" s="10"/>
    </row>
    <row r="288" spans="3:11" ht="15.75">
      <c r="C288" t="s">
        <v>314</v>
      </c>
      <c r="D288" t="s">
        <v>1352</v>
      </c>
      <c r="E288" s="25"/>
      <c r="F288" t="s">
        <v>979</v>
      </c>
      <c r="G288" t="s">
        <v>309</v>
      </c>
      <c r="H288" t="s">
        <v>501</v>
      </c>
      <c r="I288" t="s">
        <v>979</v>
      </c>
      <c r="J288" t="s">
        <v>1769</v>
      </c>
      <c r="K288" s="10"/>
    </row>
    <row r="289" spans="3:11" ht="15.75">
      <c r="C289" t="s">
        <v>314</v>
      </c>
      <c r="D289" t="s">
        <v>1322</v>
      </c>
      <c r="E289" s="25"/>
      <c r="F289" t="s">
        <v>888</v>
      </c>
      <c r="G289" t="s">
        <v>309</v>
      </c>
      <c r="H289" t="s">
        <v>501</v>
      </c>
      <c r="I289" t="s">
        <v>889</v>
      </c>
      <c r="J289" t="s">
        <v>1763</v>
      </c>
      <c r="K289" s="10"/>
    </row>
    <row r="290" spans="3:11" ht="15.75">
      <c r="C290" t="s">
        <v>313</v>
      </c>
      <c r="D290" t="s">
        <v>1323</v>
      </c>
      <c r="E290" s="25"/>
      <c r="F290" t="s">
        <v>987</v>
      </c>
      <c r="G290" t="s">
        <v>309</v>
      </c>
      <c r="H290" t="s">
        <v>501</v>
      </c>
      <c r="I290" t="s">
        <v>987</v>
      </c>
      <c r="J290" t="s">
        <v>1771</v>
      </c>
      <c r="K290" s="10"/>
    </row>
    <row r="291" spans="3:11" ht="15.75">
      <c r="C291" t="s">
        <v>313</v>
      </c>
      <c r="D291" t="s">
        <v>4039</v>
      </c>
      <c r="E291" s="25"/>
      <c r="F291" t="s">
        <v>975</v>
      </c>
      <c r="G291" t="s">
        <v>213</v>
      </c>
      <c r="H291" t="s">
        <v>501</v>
      </c>
      <c r="I291" t="s">
        <v>976</v>
      </c>
      <c r="J291" t="s">
        <v>1772</v>
      </c>
      <c r="K291" s="10"/>
    </row>
    <row r="292" spans="3:11" ht="15.75">
      <c r="C292" t="s">
        <v>313</v>
      </c>
      <c r="D292" t="s">
        <v>1353</v>
      </c>
      <c r="E292" s="25"/>
      <c r="F292" t="s">
        <v>1002</v>
      </c>
      <c r="G292" t="s">
        <v>213</v>
      </c>
      <c r="H292" t="s">
        <v>501</v>
      </c>
      <c r="I292" t="s">
        <v>978</v>
      </c>
      <c r="J292" t="s">
        <v>740</v>
      </c>
      <c r="K292" s="10"/>
    </row>
    <row r="293" spans="3:11" ht="15.75">
      <c r="C293" t="s">
        <v>313</v>
      </c>
      <c r="D293" t="s">
        <v>1354</v>
      </c>
      <c r="E293" s="25"/>
      <c r="F293" t="s">
        <v>979</v>
      </c>
      <c r="G293" t="s">
        <v>213</v>
      </c>
      <c r="H293" t="s">
        <v>501</v>
      </c>
      <c r="I293" t="s">
        <v>979</v>
      </c>
      <c r="J293" t="s">
        <v>1769</v>
      </c>
      <c r="K293" s="10"/>
    </row>
    <row r="294" spans="3:11" ht="15.75">
      <c r="C294" t="s">
        <v>313</v>
      </c>
      <c r="D294" t="s">
        <v>4040</v>
      </c>
      <c r="E294" s="25"/>
      <c r="F294" t="s">
        <v>1003</v>
      </c>
      <c r="G294" t="s">
        <v>213</v>
      </c>
      <c r="H294" t="s">
        <v>501</v>
      </c>
      <c r="I294" t="s">
        <v>1004</v>
      </c>
      <c r="J294" t="s">
        <v>1770</v>
      </c>
      <c r="K294" s="10"/>
    </row>
    <row r="295" spans="3:11" ht="15.75">
      <c r="C295" t="s">
        <v>313</v>
      </c>
      <c r="D295" t="s">
        <v>4041</v>
      </c>
      <c r="E295" s="25"/>
      <c r="F295" t="s">
        <v>1005</v>
      </c>
      <c r="G295" t="s">
        <v>213</v>
      </c>
      <c r="H295" t="s">
        <v>501</v>
      </c>
      <c r="I295" t="s">
        <v>1006</v>
      </c>
      <c r="J295" t="s">
        <v>1773</v>
      </c>
      <c r="K295" s="10"/>
    </row>
    <row r="296" spans="3:11" ht="15.75">
      <c r="C296" t="s">
        <v>312</v>
      </c>
      <c r="D296" t="s">
        <v>4042</v>
      </c>
      <c r="E296" s="25"/>
      <c r="F296" t="s">
        <v>1007</v>
      </c>
      <c r="G296" t="s">
        <v>213</v>
      </c>
      <c r="H296" t="s">
        <v>501</v>
      </c>
      <c r="I296" t="s">
        <v>1008</v>
      </c>
      <c r="J296" t="s">
        <v>1761</v>
      </c>
      <c r="K296" s="10"/>
    </row>
    <row r="297" spans="3:11" ht="15.75">
      <c r="C297" t="s">
        <v>312</v>
      </c>
      <c r="D297" t="s">
        <v>4043</v>
      </c>
      <c r="E297" s="25"/>
      <c r="F297" t="s">
        <v>1009</v>
      </c>
      <c r="G297" t="s">
        <v>213</v>
      </c>
      <c r="H297" t="s">
        <v>501</v>
      </c>
      <c r="I297" t="s">
        <v>1010</v>
      </c>
      <c r="J297" t="s">
        <v>1765</v>
      </c>
      <c r="K297" s="10"/>
    </row>
    <row r="298" spans="3:11" ht="15.75">
      <c r="C298" t="s">
        <v>312</v>
      </c>
      <c r="D298" t="s">
        <v>1355</v>
      </c>
      <c r="E298" s="25"/>
      <c r="F298" t="s">
        <v>1011</v>
      </c>
      <c r="G298" t="s">
        <v>213</v>
      </c>
      <c r="H298" t="s">
        <v>501</v>
      </c>
      <c r="I298" t="s">
        <v>1012</v>
      </c>
      <c r="J298" t="s">
        <v>1774</v>
      </c>
      <c r="K298" s="10"/>
    </row>
    <row r="299" spans="3:11" ht="15.75">
      <c r="C299" t="s">
        <v>312</v>
      </c>
      <c r="D299" t="s">
        <v>1356</v>
      </c>
      <c r="E299" s="25"/>
      <c r="F299" t="s">
        <v>1013</v>
      </c>
      <c r="G299" t="s">
        <v>213</v>
      </c>
      <c r="H299" t="s">
        <v>501</v>
      </c>
      <c r="I299" t="s">
        <v>1014</v>
      </c>
      <c r="J299" t="s">
        <v>738</v>
      </c>
      <c r="K299" s="10"/>
    </row>
    <row r="300" spans="3:11" ht="15.75">
      <c r="C300" t="s">
        <v>312</v>
      </c>
      <c r="D300" t="s">
        <v>1788</v>
      </c>
      <c r="E300" s="25"/>
      <c r="F300" t="s">
        <v>892</v>
      </c>
      <c r="G300" t="s">
        <v>213</v>
      </c>
      <c r="H300" t="s">
        <v>501</v>
      </c>
      <c r="I300" t="s">
        <v>893</v>
      </c>
      <c r="J300" t="s">
        <v>1765</v>
      </c>
      <c r="K300" s="10"/>
    </row>
    <row r="301" spans="3:11" ht="15.75">
      <c r="C301" t="s">
        <v>311</v>
      </c>
      <c r="D301" t="s">
        <v>1324</v>
      </c>
      <c r="E301" s="25"/>
      <c r="F301" t="s">
        <v>888</v>
      </c>
      <c r="G301" t="s">
        <v>213</v>
      </c>
      <c r="H301" t="s">
        <v>501</v>
      </c>
      <c r="I301" t="s">
        <v>889</v>
      </c>
      <c r="J301" t="s">
        <v>1763</v>
      </c>
      <c r="K301" s="10"/>
    </row>
    <row r="302" spans="3:11" ht="15.75">
      <c r="C302" t="s">
        <v>311</v>
      </c>
      <c r="D302" t="s">
        <v>4044</v>
      </c>
      <c r="E302" s="25"/>
      <c r="F302" t="s">
        <v>886</v>
      </c>
      <c r="G302" t="s">
        <v>213</v>
      </c>
      <c r="H302" t="s">
        <v>501</v>
      </c>
      <c r="I302" t="s">
        <v>886</v>
      </c>
      <c r="J302" t="s">
        <v>1762</v>
      </c>
      <c r="K302" s="10"/>
    </row>
    <row r="303" spans="3:11" ht="15.75">
      <c r="C303" t="s">
        <v>311</v>
      </c>
      <c r="D303" t="s">
        <v>1357</v>
      </c>
      <c r="E303" s="25"/>
      <c r="F303" t="s">
        <v>1002</v>
      </c>
      <c r="G303" t="s">
        <v>254</v>
      </c>
      <c r="H303" t="s">
        <v>501</v>
      </c>
      <c r="I303" t="s">
        <v>978</v>
      </c>
      <c r="J303" t="s">
        <v>740</v>
      </c>
      <c r="K303" s="10"/>
    </row>
    <row r="304" spans="3:11" ht="15.75">
      <c r="C304" t="s">
        <v>311</v>
      </c>
      <c r="D304" t="s">
        <v>1358</v>
      </c>
      <c r="E304" s="25"/>
      <c r="F304" t="s">
        <v>888</v>
      </c>
      <c r="G304" t="s">
        <v>254</v>
      </c>
      <c r="H304" t="s">
        <v>501</v>
      </c>
      <c r="I304" t="s">
        <v>889</v>
      </c>
      <c r="J304" t="s">
        <v>1763</v>
      </c>
      <c r="K304" s="10"/>
    </row>
    <row r="305" spans="3:11" ht="15.75">
      <c r="C305" t="s">
        <v>311</v>
      </c>
      <c r="D305" t="s">
        <v>1789</v>
      </c>
      <c r="E305" s="25"/>
      <c r="F305" t="s">
        <v>1011</v>
      </c>
      <c r="G305" t="s">
        <v>254</v>
      </c>
      <c r="H305" t="s">
        <v>501</v>
      </c>
      <c r="I305" t="s">
        <v>1012</v>
      </c>
      <c r="J305" t="s">
        <v>1774</v>
      </c>
      <c r="K305" s="10"/>
    </row>
    <row r="306" spans="3:11" ht="15.75">
      <c r="C306" t="s">
        <v>176</v>
      </c>
      <c r="D306" t="s">
        <v>1325</v>
      </c>
      <c r="E306" s="25"/>
      <c r="F306" t="s">
        <v>977</v>
      </c>
      <c r="G306" t="s">
        <v>308</v>
      </c>
      <c r="H306" t="s">
        <v>501</v>
      </c>
      <c r="I306" t="s">
        <v>978</v>
      </c>
      <c r="J306" t="s">
        <v>740</v>
      </c>
      <c r="K306" s="10"/>
    </row>
    <row r="307" spans="3:11" ht="15.75">
      <c r="C307" t="s">
        <v>176</v>
      </c>
      <c r="D307" t="s">
        <v>4045</v>
      </c>
      <c r="E307" s="25"/>
      <c r="F307" t="s">
        <v>888</v>
      </c>
      <c r="G307" t="s">
        <v>308</v>
      </c>
      <c r="H307" t="s">
        <v>501</v>
      </c>
      <c r="I307" t="s">
        <v>889</v>
      </c>
      <c r="J307" t="s">
        <v>1763</v>
      </c>
      <c r="K307" s="10"/>
    </row>
    <row r="308" spans="3:11" ht="15.75">
      <c r="C308" t="s">
        <v>176</v>
      </c>
      <c r="D308" t="s">
        <v>1359</v>
      </c>
      <c r="E308" s="25"/>
      <c r="F308" t="s">
        <v>979</v>
      </c>
      <c r="G308" t="s">
        <v>307</v>
      </c>
      <c r="H308" t="s">
        <v>501</v>
      </c>
      <c r="I308" t="s">
        <v>979</v>
      </c>
      <c r="J308" t="s">
        <v>1769</v>
      </c>
      <c r="K308" s="10"/>
    </row>
    <row r="309" spans="3:11" ht="15.75">
      <c r="C309" t="s">
        <v>176</v>
      </c>
      <c r="D309" t="s">
        <v>1360</v>
      </c>
      <c r="E309" s="25"/>
      <c r="F309" t="s">
        <v>977</v>
      </c>
      <c r="G309" t="s">
        <v>307</v>
      </c>
      <c r="H309" t="s">
        <v>501</v>
      </c>
      <c r="I309" t="s">
        <v>978</v>
      </c>
      <c r="J309" t="s">
        <v>740</v>
      </c>
      <c r="K309" s="10"/>
    </row>
    <row r="310" spans="3:11" ht="15.75">
      <c r="C310" t="s">
        <v>176</v>
      </c>
      <c r="D310" t="s">
        <v>1361</v>
      </c>
      <c r="E310" s="25"/>
      <c r="F310" t="s">
        <v>888</v>
      </c>
      <c r="G310" t="s">
        <v>307</v>
      </c>
      <c r="H310" t="s">
        <v>501</v>
      </c>
      <c r="I310" t="s">
        <v>889</v>
      </c>
      <c r="J310" t="s">
        <v>1763</v>
      </c>
      <c r="K310" s="10"/>
    </row>
    <row r="311" spans="3:11" ht="15.75">
      <c r="C311" t="s">
        <v>176</v>
      </c>
      <c r="D311" t="s">
        <v>1362</v>
      </c>
      <c r="E311" s="25"/>
      <c r="F311" t="s">
        <v>987</v>
      </c>
      <c r="G311" t="s">
        <v>307</v>
      </c>
      <c r="H311" t="s">
        <v>501</v>
      </c>
      <c r="I311" t="s">
        <v>987</v>
      </c>
      <c r="J311" t="s">
        <v>1771</v>
      </c>
      <c r="K311" s="10"/>
    </row>
    <row r="312" spans="3:11" ht="15.75">
      <c r="C312" t="s">
        <v>310</v>
      </c>
      <c r="D312" t="s">
        <v>4046</v>
      </c>
      <c r="E312" s="25"/>
      <c r="F312" t="s">
        <v>975</v>
      </c>
      <c r="G312" t="s">
        <v>175</v>
      </c>
      <c r="H312" t="s">
        <v>501</v>
      </c>
      <c r="I312" t="s">
        <v>976</v>
      </c>
      <c r="J312" t="s">
        <v>1772</v>
      </c>
      <c r="K312" s="10"/>
    </row>
    <row r="313" spans="3:11" ht="15.75">
      <c r="C313" t="s">
        <v>310</v>
      </c>
      <c r="D313" t="s">
        <v>4047</v>
      </c>
      <c r="E313" s="25"/>
      <c r="F313" t="s">
        <v>1002</v>
      </c>
      <c r="G313" t="s">
        <v>175</v>
      </c>
      <c r="H313" t="s">
        <v>501</v>
      </c>
      <c r="I313" t="s">
        <v>978</v>
      </c>
      <c r="J313" t="s">
        <v>740</v>
      </c>
      <c r="K313" s="10"/>
    </row>
    <row r="314" spans="3:11" ht="15.75">
      <c r="C314" t="s">
        <v>310</v>
      </c>
      <c r="D314" t="s">
        <v>1363</v>
      </c>
      <c r="E314" s="25"/>
      <c r="F314" t="s">
        <v>979</v>
      </c>
      <c r="G314" t="s">
        <v>175</v>
      </c>
      <c r="H314" t="s">
        <v>501</v>
      </c>
      <c r="I314" t="s">
        <v>979</v>
      </c>
      <c r="J314" t="s">
        <v>1769</v>
      </c>
      <c r="K314" s="10"/>
    </row>
    <row r="315" spans="3:11" ht="15.75">
      <c r="C315" t="s">
        <v>310</v>
      </c>
      <c r="D315" t="s">
        <v>1364</v>
      </c>
      <c r="E315" s="25"/>
      <c r="F315" t="s">
        <v>1042</v>
      </c>
      <c r="G315" t="s">
        <v>175</v>
      </c>
      <c r="H315" t="s">
        <v>501</v>
      </c>
      <c r="I315" t="s">
        <v>1043</v>
      </c>
      <c r="J315" t="s">
        <v>743</v>
      </c>
      <c r="K315" s="10"/>
    </row>
    <row r="316" spans="3:11" ht="15.75">
      <c r="C316" t="s">
        <v>309</v>
      </c>
      <c r="D316" t="s">
        <v>1326</v>
      </c>
      <c r="E316" s="25"/>
      <c r="F316" t="s">
        <v>1044</v>
      </c>
      <c r="G316" t="s">
        <v>175</v>
      </c>
      <c r="H316" t="s">
        <v>501</v>
      </c>
      <c r="I316" t="s">
        <v>1045</v>
      </c>
      <c r="J316" t="s">
        <v>1775</v>
      </c>
      <c r="K316" s="10"/>
    </row>
    <row r="317" spans="3:11" ht="15.75">
      <c r="C317" t="s">
        <v>309</v>
      </c>
      <c r="D317" t="s">
        <v>4048</v>
      </c>
      <c r="E317" s="25"/>
      <c r="F317" t="s">
        <v>1046</v>
      </c>
      <c r="G317" t="s">
        <v>175</v>
      </c>
      <c r="H317" t="s">
        <v>501</v>
      </c>
      <c r="I317" t="s">
        <v>981</v>
      </c>
      <c r="J317" t="s">
        <v>1776</v>
      </c>
      <c r="K317" s="10"/>
    </row>
    <row r="318" spans="3:11" ht="15.75">
      <c r="C318" t="s">
        <v>309</v>
      </c>
      <c r="D318" t="s">
        <v>1365</v>
      </c>
      <c r="E318" s="25"/>
      <c r="F318" t="s">
        <v>987</v>
      </c>
      <c r="G318" t="s">
        <v>175</v>
      </c>
      <c r="H318" t="s">
        <v>501</v>
      </c>
      <c r="I318" t="s">
        <v>987</v>
      </c>
      <c r="J318" t="s">
        <v>1771</v>
      </c>
      <c r="K318" s="10"/>
    </row>
    <row r="319" spans="3:11" ht="15.75">
      <c r="C319" t="s">
        <v>309</v>
      </c>
      <c r="D319" t="s">
        <v>1366</v>
      </c>
      <c r="E319" s="25"/>
      <c r="F319" t="s">
        <v>1047</v>
      </c>
      <c r="G319" t="s">
        <v>175</v>
      </c>
      <c r="H319" t="s">
        <v>501</v>
      </c>
      <c r="I319" t="s">
        <v>1047</v>
      </c>
      <c r="J319" t="s">
        <v>1763</v>
      </c>
      <c r="K319" s="10"/>
    </row>
    <row r="320" spans="3:11" ht="15.75">
      <c r="C320" t="s">
        <v>309</v>
      </c>
      <c r="D320" t="s">
        <v>1367</v>
      </c>
      <c r="E320" s="25"/>
      <c r="F320" t="s">
        <v>888</v>
      </c>
      <c r="G320" t="s">
        <v>175</v>
      </c>
      <c r="H320" t="s">
        <v>501</v>
      </c>
      <c r="I320" t="s">
        <v>889</v>
      </c>
      <c r="J320" t="s">
        <v>1763</v>
      </c>
      <c r="K320" s="10"/>
    </row>
    <row r="321" spans="3:11" ht="15.75">
      <c r="C321" t="s">
        <v>309</v>
      </c>
      <c r="D321" t="s">
        <v>1368</v>
      </c>
      <c r="E321" s="25"/>
      <c r="F321" t="s">
        <v>1059</v>
      </c>
      <c r="G321" t="s">
        <v>177</v>
      </c>
      <c r="H321" t="s">
        <v>501</v>
      </c>
      <c r="I321" t="s">
        <v>1060</v>
      </c>
      <c r="J321" t="s">
        <v>1777</v>
      </c>
      <c r="K321" s="10"/>
    </row>
    <row r="322" spans="3:11" ht="15.75">
      <c r="C322" t="s">
        <v>213</v>
      </c>
      <c r="D322" t="s">
        <v>1327</v>
      </c>
      <c r="E322" s="25"/>
      <c r="F322" t="s">
        <v>1061</v>
      </c>
      <c r="G322" t="s">
        <v>177</v>
      </c>
      <c r="H322" t="s">
        <v>501</v>
      </c>
      <c r="I322" t="s">
        <v>1008</v>
      </c>
      <c r="J322" t="s">
        <v>1761</v>
      </c>
      <c r="K322" s="10"/>
    </row>
    <row r="323" spans="3:11" ht="15.75">
      <c r="C323" t="s">
        <v>213</v>
      </c>
      <c r="D323" t="s">
        <v>4049</v>
      </c>
      <c r="E323" s="25"/>
      <c r="F323" t="s">
        <v>979</v>
      </c>
      <c r="G323" t="s">
        <v>177</v>
      </c>
      <c r="H323" t="s">
        <v>501</v>
      </c>
      <c r="I323" t="s">
        <v>979</v>
      </c>
      <c r="J323" t="s">
        <v>1769</v>
      </c>
      <c r="K323" s="10"/>
    </row>
    <row r="324" spans="3:11" ht="15.75">
      <c r="C324" t="s">
        <v>213</v>
      </c>
      <c r="D324" t="s">
        <v>1369</v>
      </c>
      <c r="E324" s="25"/>
      <c r="F324" t="s">
        <v>1062</v>
      </c>
      <c r="G324" t="s">
        <v>177</v>
      </c>
      <c r="H324" t="s">
        <v>501</v>
      </c>
      <c r="I324" t="s">
        <v>1063</v>
      </c>
      <c r="J324" t="s">
        <v>1778</v>
      </c>
      <c r="K324" s="10"/>
    </row>
    <row r="325" spans="3:11" ht="15.75">
      <c r="C325" t="s">
        <v>213</v>
      </c>
      <c r="D325" t="s">
        <v>1370</v>
      </c>
      <c r="E325" s="25"/>
      <c r="F325" t="s">
        <v>982</v>
      </c>
      <c r="G325" t="s">
        <v>177</v>
      </c>
      <c r="H325" t="s">
        <v>501</v>
      </c>
      <c r="I325" t="s">
        <v>983</v>
      </c>
      <c r="J325" t="s">
        <v>1770</v>
      </c>
      <c r="K325" s="10"/>
    </row>
    <row r="326" spans="3:11" ht="15.75">
      <c r="C326" t="s">
        <v>213</v>
      </c>
      <c r="D326" t="s">
        <v>1371</v>
      </c>
      <c r="E326" s="25"/>
      <c r="F326" t="s">
        <v>888</v>
      </c>
      <c r="G326" t="s">
        <v>177</v>
      </c>
      <c r="H326" t="s">
        <v>501</v>
      </c>
      <c r="I326" t="s">
        <v>889</v>
      </c>
      <c r="J326" t="s">
        <v>1763</v>
      </c>
      <c r="K326" s="10"/>
    </row>
    <row r="327" spans="3:11" ht="15.75">
      <c r="C327" t="s">
        <v>254</v>
      </c>
      <c r="D327" t="s">
        <v>1328</v>
      </c>
      <c r="E327" s="25"/>
      <c r="F327" t="s">
        <v>1068</v>
      </c>
      <c r="G327" t="s">
        <v>194</v>
      </c>
      <c r="H327" t="s">
        <v>501</v>
      </c>
      <c r="I327" t="s">
        <v>979</v>
      </c>
      <c r="J327" t="s">
        <v>1769</v>
      </c>
      <c r="K327" s="10"/>
    </row>
    <row r="328" spans="3:11" ht="15.75">
      <c r="C328" t="s">
        <v>254</v>
      </c>
      <c r="D328" t="s">
        <v>4050</v>
      </c>
      <c r="E328" s="25"/>
      <c r="F328" t="s">
        <v>1069</v>
      </c>
      <c r="G328" t="s">
        <v>194</v>
      </c>
      <c r="H328" t="s">
        <v>501</v>
      </c>
      <c r="I328" t="s">
        <v>1070</v>
      </c>
      <c r="J328" t="s">
        <v>1779</v>
      </c>
      <c r="K328" s="10"/>
    </row>
    <row r="329" spans="3:11" ht="15.75">
      <c r="C329" t="s">
        <v>254</v>
      </c>
      <c r="D329" t="s">
        <v>1372</v>
      </c>
      <c r="E329" s="25"/>
      <c r="F329" t="s">
        <v>888</v>
      </c>
      <c r="G329" t="s">
        <v>194</v>
      </c>
      <c r="H329" t="s">
        <v>501</v>
      </c>
      <c r="I329" t="s">
        <v>889</v>
      </c>
      <c r="J329" t="s">
        <v>1763</v>
      </c>
      <c r="K329" s="10"/>
    </row>
    <row r="330" spans="3:11" ht="15.75">
      <c r="C330" t="s">
        <v>254</v>
      </c>
      <c r="D330" t="s">
        <v>1373</v>
      </c>
      <c r="E330" s="25"/>
      <c r="F330" t="s">
        <v>3678</v>
      </c>
      <c r="G330" t="s">
        <v>194</v>
      </c>
      <c r="H330" t="s">
        <v>501</v>
      </c>
      <c r="I330" t="s">
        <v>4033</v>
      </c>
      <c r="J330" t="s">
        <v>1780</v>
      </c>
      <c r="K330" s="10"/>
    </row>
    <row r="331" spans="3:11" ht="15.75">
      <c r="C331" t="s">
        <v>254</v>
      </c>
      <c r="D331" t="s">
        <v>1374</v>
      </c>
      <c r="E331" s="25"/>
      <c r="F331" t="s">
        <v>1071</v>
      </c>
      <c r="G331" t="s">
        <v>194</v>
      </c>
      <c r="H331" t="s">
        <v>501</v>
      </c>
      <c r="I331" t="s">
        <v>1072</v>
      </c>
      <c r="J331" t="s">
        <v>1729</v>
      </c>
      <c r="K331" s="10"/>
    </row>
    <row r="332" spans="3:11" ht="15.75">
      <c r="C332" t="s">
        <v>254</v>
      </c>
      <c r="D332" t="s">
        <v>1375</v>
      </c>
      <c r="E332" s="25"/>
      <c r="F332" t="s">
        <v>1013</v>
      </c>
      <c r="G332" t="s">
        <v>194</v>
      </c>
      <c r="H332" t="s">
        <v>501</v>
      </c>
      <c r="I332" t="s">
        <v>1073</v>
      </c>
      <c r="J332" t="s">
        <v>738</v>
      </c>
      <c r="K332" s="10"/>
    </row>
    <row r="333" spans="3:11" ht="15.75">
      <c r="C333" t="s">
        <v>308</v>
      </c>
      <c r="D333" t="s">
        <v>4051</v>
      </c>
      <c r="E333" s="25"/>
      <c r="K333" s="10"/>
    </row>
    <row r="334" spans="3:11" ht="15.75">
      <c r="C334" t="s">
        <v>308</v>
      </c>
      <c r="D334" t="s">
        <v>4052</v>
      </c>
      <c r="E334" s="25"/>
      <c r="K334" s="10"/>
    </row>
    <row r="335" spans="3:11" ht="15.75">
      <c r="C335" t="s">
        <v>308</v>
      </c>
      <c r="D335" t="s">
        <v>1376</v>
      </c>
      <c r="E335" s="25"/>
      <c r="K335" s="10"/>
    </row>
    <row r="336" spans="3:11" ht="15.75">
      <c r="C336" t="s">
        <v>308</v>
      </c>
      <c r="D336" t="s">
        <v>1376</v>
      </c>
      <c r="E336" s="25"/>
      <c r="K336" s="10"/>
    </row>
    <row r="337" spans="3:11" ht="15.75">
      <c r="C337" t="s">
        <v>308</v>
      </c>
      <c r="D337" t="s">
        <v>1377</v>
      </c>
      <c r="E337" s="25"/>
      <c r="K337" s="10"/>
    </row>
    <row r="338" spans="3:11" ht="15.75">
      <c r="C338" t="s">
        <v>308</v>
      </c>
      <c r="D338" t="s">
        <v>1378</v>
      </c>
      <c r="E338" s="25"/>
      <c r="K338" s="10"/>
    </row>
    <row r="339" spans="3:11" ht="15.75">
      <c r="C339" t="s">
        <v>307</v>
      </c>
      <c r="D339" t="s">
        <v>1329</v>
      </c>
      <c r="E339" s="25"/>
      <c r="K339" s="10"/>
    </row>
    <row r="340" spans="3:11" ht="15.75">
      <c r="C340" t="s">
        <v>307</v>
      </c>
      <c r="D340" t="s">
        <v>4053</v>
      </c>
      <c r="E340" s="25"/>
      <c r="K340" s="10"/>
    </row>
    <row r="341" spans="3:11" ht="15.75">
      <c r="C341" t="s">
        <v>307</v>
      </c>
      <c r="D341" t="s">
        <v>1379</v>
      </c>
      <c r="E341" s="25"/>
      <c r="K341" s="10"/>
    </row>
    <row r="342" spans="3:11" ht="15.75">
      <c r="C342" t="s">
        <v>307</v>
      </c>
      <c r="D342" t="s">
        <v>1380</v>
      </c>
      <c r="E342" s="25"/>
      <c r="K342" s="10"/>
    </row>
    <row r="343" spans="3:11" ht="15.75">
      <c r="C343" t="s">
        <v>307</v>
      </c>
      <c r="D343" t="s">
        <v>1381</v>
      </c>
      <c r="E343" s="25"/>
      <c r="K343" s="10"/>
    </row>
    <row r="344" spans="3:11" ht="15.75">
      <c r="C344" t="s">
        <v>307</v>
      </c>
      <c r="D344" t="s">
        <v>1382</v>
      </c>
      <c r="E344" s="25"/>
      <c r="K344" s="10"/>
    </row>
    <row r="345" spans="3:11" ht="15.75">
      <c r="C345" t="s">
        <v>175</v>
      </c>
      <c r="D345" t="s">
        <v>1330</v>
      </c>
      <c r="E345" s="25"/>
      <c r="K345" s="10"/>
    </row>
    <row r="346" spans="3:11" ht="15.75">
      <c r="C346" t="s">
        <v>175</v>
      </c>
      <c r="D346" t="s">
        <v>4054</v>
      </c>
      <c r="E346" s="25"/>
      <c r="K346" s="10"/>
    </row>
    <row r="347" spans="3:11" ht="15.75">
      <c r="C347" t="s">
        <v>175</v>
      </c>
      <c r="D347" t="s">
        <v>1383</v>
      </c>
      <c r="E347" s="25"/>
      <c r="K347" s="10"/>
    </row>
    <row r="348" spans="3:11" ht="15.75">
      <c r="C348" t="s">
        <v>175</v>
      </c>
      <c r="D348" t="s">
        <v>1384</v>
      </c>
      <c r="E348" s="25"/>
      <c r="K348" s="10"/>
    </row>
    <row r="349" spans="3:11" ht="15.75">
      <c r="C349" t="s">
        <v>175</v>
      </c>
      <c r="D349" t="s">
        <v>1385</v>
      </c>
      <c r="E349" s="25"/>
      <c r="K349" s="10"/>
    </row>
    <row r="350" spans="3:11" ht="15.75">
      <c r="C350" t="s">
        <v>175</v>
      </c>
      <c r="D350" t="s">
        <v>1386</v>
      </c>
      <c r="E350" s="25"/>
      <c r="K350" s="10"/>
    </row>
    <row r="351" spans="3:11" ht="15.75">
      <c r="C351" t="s">
        <v>175</v>
      </c>
      <c r="D351" t="s">
        <v>1387</v>
      </c>
      <c r="E351" s="25"/>
      <c r="K351" s="10"/>
    </row>
    <row r="352" spans="3:11" ht="15.75">
      <c r="C352" t="s">
        <v>175</v>
      </c>
      <c r="D352" t="s">
        <v>1388</v>
      </c>
      <c r="E352" s="25"/>
      <c r="K352" s="10"/>
    </row>
    <row r="353" spans="3:11" ht="15.75">
      <c r="C353" t="s">
        <v>177</v>
      </c>
      <c r="D353" t="s">
        <v>1331</v>
      </c>
      <c r="E353" s="25"/>
      <c r="K353" s="10"/>
    </row>
    <row r="354" spans="3:11" ht="15.75">
      <c r="C354" t="s">
        <v>177</v>
      </c>
      <c r="D354" t="s">
        <v>4055</v>
      </c>
      <c r="E354" s="25"/>
      <c r="K354" s="10"/>
    </row>
    <row r="355" spans="3:11" ht="15.75">
      <c r="C355" t="s">
        <v>177</v>
      </c>
      <c r="D355" t="s">
        <v>1389</v>
      </c>
      <c r="E355" s="25"/>
      <c r="K355" s="10"/>
    </row>
    <row r="356" spans="3:11" ht="15.75">
      <c r="C356" t="s">
        <v>177</v>
      </c>
      <c r="D356" t="s">
        <v>1390</v>
      </c>
      <c r="E356" s="25"/>
      <c r="K356" s="10"/>
    </row>
    <row r="357" spans="3:11" ht="15.75">
      <c r="C357" t="s">
        <v>177</v>
      </c>
      <c r="D357" t="s">
        <v>1391</v>
      </c>
      <c r="E357" s="25"/>
      <c r="K357" s="10"/>
    </row>
    <row r="358" spans="3:11" ht="15.75">
      <c r="C358" t="s">
        <v>177</v>
      </c>
      <c r="D358" t="s">
        <v>1392</v>
      </c>
      <c r="E358" s="25"/>
      <c r="K358" s="10"/>
    </row>
    <row r="359" spans="3:11" ht="15.75">
      <c r="C359" t="s">
        <v>177</v>
      </c>
      <c r="D359" t="s">
        <v>1393</v>
      </c>
      <c r="E359" s="25"/>
      <c r="K359" s="10"/>
    </row>
    <row r="360" spans="3:11" ht="15.75">
      <c r="C360" t="s">
        <v>177</v>
      </c>
      <c r="D360" t="s">
        <v>1394</v>
      </c>
      <c r="E360" s="25"/>
      <c r="K360" s="10"/>
    </row>
    <row r="361" spans="3:11" ht="15.75">
      <c r="C361" t="s">
        <v>177</v>
      </c>
      <c r="D361" t="s">
        <v>1790</v>
      </c>
      <c r="E361" s="25"/>
      <c r="K361" s="10"/>
    </row>
    <row r="362" spans="3:11" ht="15.75">
      <c r="C362" t="s">
        <v>194</v>
      </c>
      <c r="D362" t="s">
        <v>1332</v>
      </c>
      <c r="E362" s="25"/>
      <c r="K362" s="10"/>
    </row>
    <row r="363" spans="3:11">
      <c r="C363" t="s">
        <v>194</v>
      </c>
      <c r="D363" t="s">
        <v>4056</v>
      </c>
    </row>
    <row r="364" spans="3:11">
      <c r="C364" t="s">
        <v>194</v>
      </c>
      <c r="D364" t="s">
        <v>1395</v>
      </c>
    </row>
    <row r="365" spans="3:11">
      <c r="C365" t="s">
        <v>194</v>
      </c>
      <c r="D365" t="s">
        <v>1396</v>
      </c>
    </row>
    <row r="366" spans="3:11">
      <c r="C366" t="s">
        <v>194</v>
      </c>
      <c r="D366" t="s">
        <v>1397</v>
      </c>
    </row>
    <row r="367" spans="3:11">
      <c r="C367" t="s">
        <v>194</v>
      </c>
      <c r="D367" t="s">
        <v>1398</v>
      </c>
    </row>
    <row r="473" spans="5:5">
      <c r="E473" t="s">
        <v>1100</v>
      </c>
    </row>
    <row r="474" spans="5:5">
      <c r="E474" t="s">
        <v>1100</v>
      </c>
    </row>
    <row r="475" spans="5:5">
      <c r="E475" t="s">
        <v>1100</v>
      </c>
    </row>
    <row r="476" spans="5:5">
      <c r="E476" t="s">
        <v>1100</v>
      </c>
    </row>
    <row r="477" spans="5:5">
      <c r="E477" t="s">
        <v>1100</v>
      </c>
    </row>
    <row r="478" spans="5:5">
      <c r="E478" t="s">
        <v>1100</v>
      </c>
    </row>
  </sheetData>
  <mergeCells count="3">
    <mergeCell ref="C1:H1"/>
    <mergeCell ref="C241:D241"/>
    <mergeCell ref="F241:J241"/>
  </mergeCells>
  <dataValidations count="5">
    <dataValidation type="list" allowBlank="1" showInputMessage="1" showErrorMessage="1" sqref="C5:C239">
      <formula1>Grupo</formula1>
    </dataValidation>
    <dataValidation type="list" allowBlank="1" showInputMessage="1" showErrorMessage="1" sqref="D5:D19 D21:D29 D31:D38 D40:D50 D52:D60 D62:D68 D70:D78 D80:D90 D92:D99 D101:D106 D108:D114 D116:D126 D128:D134 D136:D144 D146:D162 D164:D172 D174:D181 D183:D192 D194:D210 D212:D226 D228:D239">
      <formula1>Estaciones</formula1>
    </dataValidation>
    <dataValidation type="list" allowBlank="1" showInputMessage="1" showErrorMessage="1" sqref="F5:F239">
      <formula1>Clase</formula1>
    </dataValidation>
    <dataValidation type="custom" allowBlank="1" showInputMessage="1" showErrorMessage="1" sqref="E3:E4 E240">
      <formula1>"Referencia,Servicios"</formula1>
    </dataValidation>
    <dataValidation type="list" allowBlank="1" showInputMessage="1" showErrorMessage="1" sqref="E5:E239">
      <formula1>"Servicios,Referencia"</formula1>
    </dataValidation>
  </dataValidations>
  <hyperlinks>
    <hyperlink ref="I22" r:id="rId1" display="http://toolserver.org/~geohack/geohack.php?pagename=Plaza_Arag%C3%B3n_(estaci%C3%B3n)&amp;language=es&amp;params=19.528447_N_99.030118_W_region:MX_type:landmark_scale:5000"/>
    <hyperlink ref="I32" r:id="rId2" display="http://toolserver.org/~geohack/geohack.php?pagename=Ol%C3%ADmpica_(estaci%C3%B3n)&amp;language=es&amp;params=19.521328_N_99.033422_W_region:MX_type:landmark_scale:5000"/>
    <hyperlink ref="I41" r:id="rId3" display="http://toolserver.org/~geohack/geohack.php?pagename=Ecatepec_(estaci%C3%B3n)&amp;language=es&amp;params=19.515301_N_99.035997_W_region:MX_type:landmark_scale:5000"/>
    <hyperlink ref="I53" r:id="rId4" display="http://toolserver.org/~geohack/geohack.php?pagename=M%C3%BAzquiz_(estaci%C3%B3n)&amp;language=es&amp;params=19.501629_N_99.042048_W_region:MX_type:landmark_scale:5000"/>
    <hyperlink ref="I63" r:id="rId5" display="http://toolserver.org/~geohack/geohack.php?pagename=R%C3%ADo_de_los_Remedios_(estaci%C3%B3n)&amp;language=es&amp;params=19.490908_N_99.046597_W_region:MX_type:landmark_scale:5000"/>
    <hyperlink ref="I71" r:id="rId6" display="http://toolserver.org/~geohack/geohack.php?pagename=Impulsora_(estaci%C3%B3n)&amp;language=es&amp;params=19.485851_N_99.048915_W_region:MX_type:landmark_scale:5000"/>
    <hyperlink ref="I81" r:id="rId7" display="http://toolserver.org/~geohack/geohack.php?pagename=Nezahualc%C3%B3yotl_(estaci%C3%B3n)&amp;language=es&amp;params=19.473066_N_99.054537_W_region:MX_type:landmark_scale:5000"/>
    <hyperlink ref="I93" r:id="rId8" display="http://toolserver.org/~geohack/geohack.php?pagename=Villa_de_Arag%C3%B3n_(estaci%C3%B3n)&amp;language=es&amp;params=19.461656_N_99.061704_W_region:MX_type:landmark_scale:5000"/>
    <hyperlink ref="I102" r:id="rId9" display="http://toolserver.org/~geohack/geohack.php?pagename=Bosque_de_Arag%C3%B3n_(estaci%C3%B3n)&amp;language=es&amp;params=19.458115_N_99.069192_W_region:MX_type:landmark_scale:5000"/>
    <hyperlink ref="I109" r:id="rId10" display="http://toolserver.org/~geohack/geohack.php?pagename=Deportivo_Ocean%C3%ADa_(estaci%C3%B3n)&amp;language=es&amp;params=19.451034_N_99.07917_W_region:MX_type:landmark_scale:5000"/>
    <hyperlink ref="I117" r:id="rId11" display="http://toolserver.org/~geohack/geohack.php?pagename=Ocean%C3%ADa_(estaci%C3%B3n)&amp;language=es&amp;params=19.445672_N_99.087238_W_region:MX_type:landmark_scale:5000"/>
    <hyperlink ref="I129" r:id="rId12" display="http://toolserver.org/~geohack/geohack.php?pagename=Romero_Rubio_(estaci%C3%B3n)&amp;language=es&amp;params=19.436567_N_99.103675_W_region:MX_type:landmark_scale:5000"/>
    <hyperlink ref="I137" r:id="rId13" display="http://toolserver.org/~geohack/geohack.php?pagename=Ricardo_Flores_Mag%C3%B3n_(estaci%C3%B3n)&amp;language=es&amp;params=19.436567_N_99.103675_W_region:MX_type:landmark_scale:5000"/>
    <hyperlink ref="I147" r:id="rId14" display="http://toolserver.org/~geohack/geohack.php?pagename=San_L%C3%A1zaro_(estaci%C3%B3n)&amp;language=es&amp;params=19.430213_N_99.114833_W_region:MX_type:railwaystation"/>
    <hyperlink ref="I165" r:id="rId15" display="http://toolserver.org/~geohack/geohack.php?pagename=Morelos_(estaci%C3%B3n)&amp;language=es&amp;params=19.438974_N_99.118266_W_region:MX_type:railwaystation"/>
    <hyperlink ref="I175" r:id="rId16" display="http://toolserver.org/~geohack/geohack.php?pagename=Tepito_(estaci%C3%B3n)&amp;language=es&amp;params=19.442495_N_99.12333_W_region:MX_type:landmark_scale:5000"/>
    <hyperlink ref="I184" r:id="rId17" display="http://toolserver.org/~geohack/geohack.php?pagename=Lagunilla_(estaci%C3%B3n)&amp;language=es&amp;params=19.443386_N_99.131334_W_region:MX_type:landmark_scale:5000"/>
    <hyperlink ref="I195" r:id="rId18" display="http://toolserver.org/~geohack/geohack.php?pagename=Garibaldi-Lagunilla_(estaci%C3%B3n)&amp;language=es&amp;params=19.444458_N_99.139734_W_region:MX_type:railwaystation"/>
    <hyperlink ref="I213" r:id="rId19" display="http://toolserver.org/~geohack/geohack.php?pagename=Guerrero_(estaci%C3%B3n)&amp;language=es&amp;params=19.445146_N_99.145389_W_region:MX_type:railwaystation"/>
    <hyperlink ref="I229" r:id="rId20" display="http://toolserver.org/~geohack/geohack.php?pagename=Buenavista_(estaci%C3%B3n)&amp;language=es&amp;params=19.446603_N_99.153199_W_region:MX_type:landmark_scale:5000"/>
    <hyperlink ref="I6" r:id="rId21" display="http://toolserver.org/~geohack/geohack.php?pagename=Ciudad_Azteca_(estaci%C3%B3n)&amp;language=es&amp;params=19.534595_N_99.0275_W_region:MX_type:landmark_scale:5000"/>
  </hyperlinks>
  <pageMargins left="0.7" right="0.7" top="0.75" bottom="0.75" header="0.3" footer="0.3"/>
  <legacyDrawing r:id="rId2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8</vt:i4>
      </vt:variant>
    </vt:vector>
  </HeadingPairs>
  <TitlesOfParts>
    <vt:vector size="29" baseType="lpstr">
      <vt:lpstr>Hoja1</vt:lpstr>
      <vt:lpstr>Estaciones-ID</vt:lpstr>
      <vt:lpstr>Sistemas</vt:lpstr>
      <vt:lpstr>Grupos</vt:lpstr>
      <vt:lpstr>Nodos</vt:lpstr>
      <vt:lpstr>Adyacencias_Enlaces</vt:lpstr>
      <vt:lpstr>Clases</vt:lpstr>
      <vt:lpstr>Propiedades</vt:lpstr>
      <vt:lpstr>Asignaciones</vt:lpstr>
      <vt:lpstr>Referencias</vt:lpstr>
      <vt:lpstr>Linea1</vt:lpstr>
      <vt:lpstr>Linea2</vt:lpstr>
      <vt:lpstr>Linea3</vt:lpstr>
      <vt:lpstr>Linea4</vt:lpstr>
      <vt:lpstr>Linea5</vt:lpstr>
      <vt:lpstr>Linea6</vt:lpstr>
      <vt:lpstr>Linea7</vt:lpstr>
      <vt:lpstr>Linea8</vt:lpstr>
      <vt:lpstr>Linea9</vt:lpstr>
      <vt:lpstr>LineaA</vt:lpstr>
      <vt:lpstr>LineaB</vt:lpstr>
      <vt:lpstr>Clase</vt:lpstr>
      <vt:lpstr>Estaciones</vt:lpstr>
      <vt:lpstr>EstacionesNombre</vt:lpstr>
      <vt:lpstr>Grupo</vt:lpstr>
      <vt:lpstr>Grupos</vt:lpstr>
      <vt:lpstr>Nodos!Nodo</vt:lpstr>
      <vt:lpstr>Propiedades</vt:lpstr>
      <vt:lpstr>Sistemas</vt:lpstr>
    </vt:vector>
  </TitlesOfParts>
  <Company>BBVa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xm02664</dc:creator>
  <cp:lastModifiedBy>xm02664</cp:lastModifiedBy>
  <dcterms:created xsi:type="dcterms:W3CDTF">2011-10-28T21:15:52Z</dcterms:created>
  <dcterms:modified xsi:type="dcterms:W3CDTF">2012-05-15T01:47:22Z</dcterms:modified>
</cp:coreProperties>
</file>